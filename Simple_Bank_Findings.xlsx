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 Analysis" sheetId="2" state="visible" r:id="rId4"/>
    <sheet name="City Analysis" sheetId="3" state="visible" r:id="rId5"/>
    <sheet name="Transfer &amp; Integrity" sheetId="4" state="visible" r:id="rId6"/>
    <sheet name="Data Checks" sheetId="5" state="visible" r:id="rId7"/>
    <sheet name="Interview Points" sheetId="6" state="visible" r:id="rId8"/>
    <sheet name="Query Log" sheetId="7" state="visible" r:id="rId9"/>
    <sheet name="Customers" sheetId="8" state="visible" r:id="rId10"/>
    <sheet name="Accounts" sheetId="9" state="visible" r:id="rId11"/>
    <sheet name="Transactions" sheetId="10" state="visible" r:id="rId12"/>
    <sheet name="Loans" sheetId="11" state="visible" r:id="rId13"/>
    <sheet name="Not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<sst xmlns="http://schemas.openxmlformats.org/spreadsheetml/2006/main" count="311" uniqueCount="255">
  <si>
    <t xml:space="preserve">Simple Bank (Lite) - Findings &amp; Insights</t>
  </si>
  <si>
    <t xml:space="preserve">PostgreSQL project | 4 tables, 11 queries, 1 safe transfer | Fictional data, pre-transfer snapshot | All figures in Rs and formula-driven</t>
  </si>
  <si>
    <t xml:space="preserve">Key metric</t>
  </si>
  <si>
    <t xml:space="preserve">Value</t>
  </si>
  <si>
    <t xml:space="preserve">How it is calculated</t>
  </si>
  <si>
    <t xml:space="preserve">Customers</t>
  </si>
  <si>
    <t xml:space="preserve">Rows in customers</t>
  </si>
  <si>
    <t xml:space="preserve">Accounts</t>
  </si>
  <si>
    <t xml:space="preserve">Rows in accounts</t>
  </si>
  <si>
    <t xml:space="preserve">Total balances (Rs)</t>
  </si>
  <si>
    <t xml:space="preserve">Q4</t>
  </si>
  <si>
    <t xml:space="preserve">Average balance per account (Rs)</t>
  </si>
  <si>
    <t xml:space="preserve">Total deposits (Rs)</t>
  </si>
  <si>
    <t xml:space="preserve">Q5</t>
  </si>
  <si>
    <t xml:space="preserve">Total withdrawals (Rs)</t>
  </si>
  <si>
    <t xml:space="preserve">Net inflow (Rs)</t>
  </si>
  <si>
    <t xml:space="preserve">Deposits - withdrawals</t>
  </si>
  <si>
    <t xml:space="preserve">Total loan book (Rs)</t>
  </si>
  <si>
    <t xml:space="preserve">Sum of loans.amount</t>
  </si>
  <si>
    <t xml:space="preserve">Defaulted loans (Rs)</t>
  </si>
  <si>
    <t xml:space="preserve">Loans with status DEFAULTED</t>
  </si>
  <si>
    <t xml:space="preserve">Default rate (by value)</t>
  </si>
  <si>
    <t xml:space="preserve">Defaulted / total loan book</t>
  </si>
  <si>
    <t xml:space="preserve">Customers with a loan</t>
  </si>
  <si>
    <t xml:space="preserve">Q10</t>
  </si>
  <si>
    <t xml:space="preserve">Dormant customers (0 txns)</t>
  </si>
  <si>
    <t xml:space="preserve">Q9</t>
  </si>
  <si>
    <t xml:space="preserve">Largest customer share of balances</t>
  </si>
  <si>
    <t xml:space="preserve">Q7 basis</t>
  </si>
  <si>
    <t xml:space="preserve">Loan book / total balances (x)</t>
  </si>
  <si>
    <t xml:space="preserve">Illustrative on sample data</t>
  </si>
  <si>
    <t xml:space="preserve">Key insights</t>
  </si>
  <si>
    <t xml:space="preserve">Theme</t>
  </si>
  <si>
    <t xml:space="preserve">Finding</t>
  </si>
  <si>
    <t xml:space="preserve">Evidence (live from data)</t>
  </si>
  <si>
    <t xml:space="preserve">Suggested action (analyst view)</t>
  </si>
  <si>
    <t xml:space="preserve">Deposit concentration</t>
  </si>
  <si>
    <t xml:space="preserve">Balances are concentrated in a few customers; the largest holder is a CURRENT account customer.</t>
  </si>
  <si>
    <t xml:space="preserve">Assign relationship managers to top holders; monitor concentration risk.</t>
  </si>
  <si>
    <t xml:space="preserve">Cash-flow health</t>
  </si>
  <si>
    <t xml:space="preserve">Deposits exceed withdrawals, so the book is a net inflow.</t>
  </si>
  <si>
    <t xml:space="preserve">Track the withdrawal ratio monthly as an early liquidity signal.</t>
  </si>
  <si>
    <t xml:space="preserve">Multi-account customers</t>
  </si>
  <si>
    <t xml:space="preserve">Rohan Mehta (savings + current) and Karan Malhotra (two savings) hold two accounts each.</t>
  </si>
  <si>
    <t xml:space="preserve">Offer a consolidated view and relationship pricing.</t>
  </si>
  <si>
    <t xml:space="preserve">Dormant balance</t>
  </si>
  <si>
    <t xml:space="preserve">Meera Joshi has an account with no transactions at all (found with LEFT JOIN + IS NULL).</t>
  </si>
  <si>
    <t xml:space="preserve">Re-engagement outreach: digital onboarding, FD or SIP offers.</t>
  </si>
  <si>
    <t xml:space="preserve">Loan-book concentration</t>
  </si>
  <si>
    <t xml:space="preserve">One customer's loan dominates the loan book.</t>
  </si>
  <si>
    <t xml:space="preserve">Set single-borrower exposure limits and review the largest exposures.</t>
  </si>
  <si>
    <t xml:space="preserve">Customer leverage</t>
  </si>
  <si>
    <t xml:space="preserve">Rohan Mehta's loan is far above his deposits in this bank.</t>
  </si>
  <si>
    <t xml:space="preserve">Add to a watch-list; check repayment capacity and collateral.</t>
  </si>
  <si>
    <t xml:space="preserve">Credit risk</t>
  </si>
  <si>
    <t xml:space="preserve">Karan Malhotra's Rs 2 lakh loan is DEFAULTED and his deposits cover little of it.</t>
  </si>
  <si>
    <t xml:space="preserve">Recovery workflow; consider lien on deposits where terms allow.</t>
  </si>
  <si>
    <t xml:space="preserve">Geographic skew</t>
  </si>
  <si>
    <t xml:space="preserve">Mumbai carries a disproportionate share of loans compared with its share of customers.</t>
  </si>
  <si>
    <t xml:space="preserve">Monitor city-level exposure; diversify lending across branches.</t>
  </si>
  <si>
    <t xml:space="preserve">Cross-sell opportunity</t>
  </si>
  <si>
    <t xml:space="preserve">Several customers with healthy balances have no loan product.</t>
  </si>
  <si>
    <t xml:space="preserve">Targeted pre-approved loan or investment offers (subject to credit checks).</t>
  </si>
  <si>
    <t xml:space="preserve">Customer Analysis</t>
  </si>
  <si>
    <t xml:space="preserve">One row per customer, built from the raw tabs with formulas. Amounts in Rs. Snapshot before transfer demo.</t>
  </si>
  <si>
    <t xml:space="preserve">customer_id</t>
  </si>
  <si>
    <t xml:space="preserve">Name</t>
  </si>
  <si>
    <t xml:space="preserve">City</t>
  </si>
  <si>
    <t xml:space="preserve"># Accounts</t>
  </si>
  <si>
    <t xml:space="preserve">Total balance</t>
  </si>
  <si>
    <t xml:space="preserve">Share of bank balances</t>
  </si>
  <si>
    <t xml:space="preserve">Balance rank</t>
  </si>
  <si>
    <t xml:space="preserve"># Txns</t>
  </si>
  <si>
    <t xml:space="preserve">Deposits</t>
  </si>
  <si>
    <t xml:space="preserve">Withdrawals</t>
  </si>
  <si>
    <t xml:space="preserve">Net flow</t>
  </si>
  <si>
    <t xml:space="preserve">Loan amount</t>
  </si>
  <si>
    <t xml:space="preserve">Defaulted amount</t>
  </si>
  <si>
    <t xml:space="preserve">Loan-to-balance (x)</t>
  </si>
  <si>
    <t xml:space="preserve">Flag</t>
  </si>
  <si>
    <t xml:space="preserve">Total</t>
  </si>
  <si>
    <t xml:space="preserve">City Analysis</t>
  </si>
  <si>
    <t xml:space="preserve">Roll-up of Customer Analysis by city. Loan totals equal Q11 output.</t>
  </si>
  <si>
    <t xml:space="preserve"># Customers</t>
  </si>
  <si>
    <t xml:space="preserve">Share of customers</t>
  </si>
  <si>
    <t xml:space="preserve">Share of balances</t>
  </si>
  <si>
    <t xml:space="preserve">Share of loans</t>
  </si>
  <si>
    <t xml:space="preserve">Mumbai</t>
  </si>
  <si>
    <t xml:space="preserve">Delhi</t>
  </si>
  <si>
    <t xml:space="preserve">Bengaluru</t>
  </si>
  <si>
    <t xml:space="preserve">Chennai</t>
  </si>
  <si>
    <t xml:space="preserve">Pune</t>
  </si>
  <si>
    <t xml:space="preserve">Check: city total balance ties to Accounts tab</t>
  </si>
  <si>
    <t xml:space="preserve">Check: city total loans ties to Loans tab</t>
  </si>
  <si>
    <t xml:space="preserve">Safe Money Transfer &amp; Integrity Tests</t>
  </si>
  <si>
    <t xml:space="preserve">Part 4 of the script: Rohan (acct 1) sends Rs 10,000 to Ananya (acct 2).</t>
  </si>
  <si>
    <t xml:space="preserve">Account</t>
  </si>
  <si>
    <t xml:space="preserve">Owner</t>
  </si>
  <si>
    <t xml:space="preserve">Before (Rs)</t>
  </si>
  <si>
    <t xml:space="preserve">Transfer (Rs)</t>
  </si>
  <si>
    <t xml:space="preserve">After COMMIT (Rs)</t>
  </si>
  <si>
    <t xml:space="preserve">Source of 'After'</t>
  </si>
  <si>
    <t xml:space="preserve">Rohan Mehta</t>
  </si>
  <si>
    <t xml:space="preserve">Observed: pgAdmin screenshot shows 35,000.00 for account 1</t>
  </si>
  <si>
    <t xml:space="preserve">Ananya Iyer</t>
  </si>
  <si>
    <t xml:space="preserve">Calculated from script logic (not visible in screenshots)</t>
  </si>
  <si>
    <t xml:space="preserve">Test</t>
  </si>
  <si>
    <t xml:space="preserve">What the script does</t>
  </si>
  <si>
    <t xml:space="preserve">Expected behaviour</t>
  </si>
  <si>
    <t xml:space="preserve">Evidence</t>
  </si>
  <si>
    <t xml:space="preserve">Atomic transfer (BEGIN...COMMIT)</t>
  </si>
  <si>
    <t xml:space="preserve">Debit account 1 and credit account 2 inside one transaction.</t>
  </si>
  <si>
    <t xml:space="preserve">Both updates apply together or neither does.</t>
  </si>
  <si>
    <t xml:space="preserve">Account 1 = 35,000 in pgAdmin after the demo.</t>
  </si>
  <si>
    <t xml:space="preserve">ROLLBACK demo</t>
  </si>
  <si>
    <t xml:space="preserve">Debit account 1 by 10,000, then ROLLBACK.</t>
  </si>
  <si>
    <t xml:space="preserve">Debit is undone; balance unchanged.</t>
  </si>
  <si>
    <t xml:space="preserve">Account 1 still 35,000 after rollback (screenshot 1, Query complete, 1 row).</t>
  </si>
  <si>
    <t xml:space="preserve">Overdraft constraint</t>
  </si>
  <si>
    <t xml:space="preserve">Commented-out UPDATE subtracts 99,999,999 from account 1.</t>
  </si>
  <si>
    <t xml:space="preserve">Fails: CHECK (balance &gt;= 0) is violated.</t>
  </si>
  <si>
    <t xml:space="preserve">Per script comment; not run in the screenshots.</t>
  </si>
  <si>
    <t xml:space="preserve">Data Checks &amp; Design Observations</t>
  </si>
  <si>
    <t xml:space="preserve">Findings from reviewing the schema and the data. Useful as 'what I would improve' talking points.</t>
  </si>
  <si>
    <t xml:space="preserve">account_id</t>
  </si>
  <si>
    <t xml:space="preserve">Account balance</t>
  </si>
  <si>
    <t xml:space="preserve">Net txn flow (deposits - withdrawals)</t>
  </si>
  <si>
    <t xml:space="preserve">Unexplained (balance - net flow)</t>
  </si>
  <si>
    <t xml:space="preserve">Reading the table</t>
  </si>
  <si>
    <t xml:space="preserve">#</t>
  </si>
  <si>
    <t xml:space="preserve">Observation</t>
  </si>
  <si>
    <t xml:space="preserve">Suggested improvement</t>
  </si>
  <si>
    <t xml:space="preserve">Transfer updates balances but inserts nothing into the transactions table, so the transfer leaves no audit trail.</t>
  </si>
  <si>
    <t xml:space="preserve">Insert a DEBIT and a CREDIT row inside the same BEGIN...COMMIT block.</t>
  </si>
  <si>
    <t xml:space="preserve">No opening balance or ledger: balance is a stored number that history cannot reproduce (see table above).</t>
  </si>
  <si>
    <t xml:space="preserve">Add an opening-balance transaction per account, or compute balance from the ledger.</t>
  </si>
  <si>
    <t xml:space="preserve">Loans table has no interest rate, tenure, repayment or due-date fields, so default risk cannot be measured beyond a status flag.</t>
  </si>
  <si>
    <t xml:space="preserve">Add rate, tenure, EMI and repayment tables.</t>
  </si>
  <si>
    <t xml:space="preserve">Transfer does not lock rows: two simultaneous transfers on one account could interleave.</t>
  </si>
  <si>
    <t xml:space="preserve">Use SELECT ... FOR UPDATE on both rows, or a stricter isolation level.</t>
  </si>
  <si>
    <t xml:space="preserve">Foreign-key columns (customer_id, account_id) have no explicit indexes; PostgreSQL does not create them automatically.</t>
  </si>
  <si>
    <t xml:space="preserve">Add indexes on FK columns used in joins as data grows.</t>
  </si>
  <si>
    <t xml:space="preserve">Interview Talking Points</t>
  </si>
  <si>
    <t xml:space="preserve">Likely questions with answers grounded in this project.</t>
  </si>
  <si>
    <t xml:space="preserve">Question</t>
  </si>
  <si>
    <t xml:space="preserve">Answer (from this project)</t>
  </si>
  <si>
    <t xml:space="preserve">Why did you use a separate schema?</t>
  </si>
  <si>
    <t xml:space="preserve">Everything lives in simple_bank, so DROP SCHEMA ... CASCADE resets the project without touching any other data in the database.</t>
  </si>
  <si>
    <t xml:space="preserve">Why NUMERIC(12,2) for money instead of FLOAT?</t>
  </si>
  <si>
    <t xml:space="preserve">NUMERIC stores exact decimals, so there are no binary rounding errors in balances or totals.</t>
  </si>
  <si>
    <t xml:space="preserve">How do you stop an account going negative?</t>
  </si>
  <si>
    <t xml:space="preserve">CHECK (balance &gt;= 0) on accounts. The constraint test (subtract 99,999,999) fails with a check-constraint violation.</t>
  </si>
  <si>
    <t xml:space="preserve">Why wrap the transfer in a transaction?</t>
  </si>
  <si>
    <t xml:space="preserve">Debit and credit must succeed together or not at all. BEGIN...COMMIT makes it atomic; the ROLLBACK demo shows an undo leaves the balance unchanged.</t>
  </si>
  <si>
    <t xml:space="preserve">INNER JOIN vs LEFT JOIN in your queries?</t>
  </si>
  <si>
    <t xml:space="preserve">Q6/Q10 use INNER JOIN (only matching rows). Q9 uses LEFT JOIN + IS NULL to find customers with no transactions, which surfaces Meera Joshi.</t>
  </si>
  <si>
    <t xml:space="preserve">WHERE vs HAVING?</t>
  </si>
  <si>
    <t xml:space="preserve">WHERE filters rows before grouping; HAVING filters groups after aggregation. Q8 uses HAVING COUNT(*) &gt; 1 to find multi-account customers.</t>
  </si>
  <si>
    <t xml:space="preserve">What business insight stands out?</t>
  </si>
  <si>
    <t xml:space="preserve">Balances and loans are concentrated: one customer holds the largest share of deposits, and one Mumbai loan dominates the loan book (see Summary and Customer Analysis tabs).</t>
  </si>
  <si>
    <t xml:space="preserve">What would you improve?</t>
  </si>
  <si>
    <t xml:space="preserve">Log transfers in the transactions table, add an opening balance/ledger, add loan rate and repayment data, lock rows during transfers, and index foreign keys (see Data Checks tab).</t>
  </si>
  <si>
    <t xml:space="preserve">Query Log (Q1-Q11)</t>
  </si>
  <si>
    <t xml:space="preserve">Results verified by running the script's queries on this data (pre-transfer snapshot).</t>
  </si>
  <si>
    <t xml:space="preserve">Query</t>
  </si>
  <si>
    <t xml:space="preserve">Business question</t>
  </si>
  <si>
    <t xml:space="preserve">SQL concept</t>
  </si>
  <si>
    <t xml:space="preserve">Result</t>
  </si>
  <si>
    <t xml:space="preserve">Q1</t>
  </si>
  <si>
    <t xml:space="preserve">List all customers</t>
  </si>
  <si>
    <t xml:space="preserve">SELECT *</t>
  </si>
  <si>
    <t xml:space="preserve">8 customers</t>
  </si>
  <si>
    <t xml:space="preserve">Q2</t>
  </si>
  <si>
    <t xml:space="preserve">Customers in Delhi</t>
  </si>
  <si>
    <t xml:space="preserve">WHERE</t>
  </si>
  <si>
    <t xml:space="preserve">Karan Malhotra, Vikram Singh</t>
  </si>
  <si>
    <t xml:space="preserve">Q3</t>
  </si>
  <si>
    <t xml:space="preserve">Accounts above Rs 1,00,000, highest first</t>
  </si>
  <si>
    <t xml:space="preserve">WHERE + ORDER BY</t>
  </si>
  <si>
    <t xml:space="preserve">Accounts 5, 9, 4, 7 (540,000; 260,000; 230,000; 125,000)</t>
  </si>
  <si>
    <t xml:space="preserve">Total money, average balance, number of accounts</t>
  </si>
  <si>
    <t xml:space="preserve">SUM / AVG / COUNT</t>
  </si>
  <si>
    <t xml:space="preserve">Total 1,410,000; average 141,000.00; 10 accounts</t>
  </si>
  <si>
    <t xml:space="preserve">Total deposits vs withdrawals</t>
  </si>
  <si>
    <t xml:space="preserve">GROUP BY</t>
  </si>
  <si>
    <t xml:space="preserve">DEPOSIT 485,000 (9 txns); WITHDRAWAL 144,000 (6 txns)</t>
  </si>
  <si>
    <t xml:space="preserve">Q6</t>
  </si>
  <si>
    <t xml:space="preserve">Each customer with their accounts</t>
  </si>
  <si>
    <t xml:space="preserve">INNER JOIN</t>
  </si>
  <si>
    <t xml:space="preserve">10 rows (one per account)</t>
  </si>
  <si>
    <t xml:space="preserve">Q7</t>
  </si>
  <si>
    <t xml:space="preserve">Top 3 customers by total balance</t>
  </si>
  <si>
    <t xml:space="preserve">JOIN + GROUP BY + LIMIT</t>
  </si>
  <si>
    <t xml:space="preserve">Vikram Singh 540,000; Rohan Mehta 305,000; Priya Nair 230,000</t>
  </si>
  <si>
    <t xml:space="preserve">Q8</t>
  </si>
  <si>
    <t xml:space="preserve">Customers with more than one account</t>
  </si>
  <si>
    <t xml:space="preserve">GROUP BY + HAVING</t>
  </si>
  <si>
    <t xml:space="preserve">Rohan Mehta (2), Karan Malhotra (2)</t>
  </si>
  <si>
    <t xml:space="preserve">Customers who never transacted</t>
  </si>
  <si>
    <t xml:space="preserve">LEFT JOIN + IS NULL</t>
  </si>
  <si>
    <t xml:space="preserve">Meera Joshi</t>
  </si>
  <si>
    <t xml:space="preserve">Customers with loans and status</t>
  </si>
  <si>
    <t xml:space="preserve">JOIN</t>
  </si>
  <si>
    <t xml:space="preserve">Rohan 4,000,000 ACTIVE; Priya 500,000 ACTIVE; Vikram 2,000,000 ACTIVE; Karan 200,000 DEFAULTED</t>
  </si>
  <si>
    <t xml:space="preserve">Q11</t>
  </si>
  <si>
    <t xml:space="preserve">Total loan amount per city</t>
  </si>
  <si>
    <t xml:space="preserve">JOIN + GROUP BY</t>
  </si>
  <si>
    <t xml:space="preserve">Mumbai 4,000,000; Delhi 2,200,000; Bengaluru 500,000 (matches pgAdmin screenshot)</t>
  </si>
  <si>
    <t xml:space="preserve">name</t>
  </si>
  <si>
    <t xml:space="preserve">city</t>
  </si>
  <si>
    <t xml:space="preserve">phone</t>
  </si>
  <si>
    <t xml:space="preserve">9000000001</t>
  </si>
  <si>
    <t xml:space="preserve">9000000002</t>
  </si>
  <si>
    <t xml:space="preserve">Karan Malhotra</t>
  </si>
  <si>
    <t xml:space="preserve">9000000003</t>
  </si>
  <si>
    <t xml:space="preserve">Priya Nair</t>
  </si>
  <si>
    <t xml:space="preserve">9000000004</t>
  </si>
  <si>
    <t xml:space="preserve">Vikram Singh</t>
  </si>
  <si>
    <t xml:space="preserve">9000000005</t>
  </si>
  <si>
    <t xml:space="preserve">Sneha Kulkarni</t>
  </si>
  <si>
    <t xml:space="preserve">9000000006</t>
  </si>
  <si>
    <t xml:space="preserve">Arjun Reddy</t>
  </si>
  <si>
    <t xml:space="preserve">9000000007</t>
  </si>
  <si>
    <t xml:space="preserve">9000000008</t>
  </si>
  <si>
    <t xml:space="preserve">account_type</t>
  </si>
  <si>
    <t xml:space="preserve">balance (Rs)</t>
  </si>
  <si>
    <t xml:space="preserve">SAVINGS</t>
  </si>
  <si>
    <t xml:space="preserve">CURRENT</t>
  </si>
  <si>
    <t xml:space="preserve">txn_id</t>
  </si>
  <si>
    <t xml:space="preserve">txn_type</t>
  </si>
  <si>
    <t xml:space="preserve">amount (Rs)</t>
  </si>
  <si>
    <t xml:space="preserve">txn_date</t>
  </si>
  <si>
    <t xml:space="preserve">customer_id (lookup)</t>
  </si>
  <si>
    <t xml:space="preserve">DEPOSIT</t>
  </si>
  <si>
    <t xml:space="preserve">WITHDRAWAL</t>
  </si>
  <si>
    <t xml:space="preserve">loan_id</t>
  </si>
  <si>
    <t xml:space="preserve">status</t>
  </si>
  <si>
    <t xml:space="preserve">ACTIVE</t>
  </si>
  <si>
    <t xml:space="preserve">DEFAULTED</t>
  </si>
  <si>
    <t xml:space="preserve">Notes &amp; Assumptions</t>
  </si>
  <si>
    <t xml:space="preserve">Item</t>
  </si>
  <si>
    <t xml:space="preserve">Detail</t>
  </si>
  <si>
    <t xml:space="preserve">Data source</t>
  </si>
  <si>
    <t xml:space="preserve">Fictional sample data from simple_bank_lite_postgres.sql (loaded as-is). Raw tabs: Customers, Accounts, Transactions, Loans.</t>
  </si>
  <si>
    <t xml:space="preserve">Snapshot</t>
  </si>
  <si>
    <t xml:space="preserve">All analysis uses the seed data BEFORE the Rs 10,000 transfer demo (Rohan's account 1 = 45,000; Ananya's account 2 = 82,000). The transfer is shown separately on 'Transfer &amp; Integrity'.</t>
  </si>
  <si>
    <t xml:space="preserve">High-leverage threshold (x)</t>
  </si>
  <si>
    <t xml:space="preserve">Threshold basis</t>
  </si>
  <si>
    <t xml:space="preserve">Analyst-chosen cut-off for flagging loan-to-balance ratio; NOT from the project script or any ICICI policy. Change cell B5 and flags update.</t>
  </si>
  <si>
    <t xml:space="preserve">Loan-to-balance ratio</t>
  </si>
  <si>
    <t xml:space="preserve">Customer's total loan amount / customer's total account balance in this dataset. Illustrative only, not a regulatory ratio.</t>
  </si>
  <si>
    <t xml:space="preserve">Helper column</t>
  </si>
  <si>
    <t xml:space="preserve">Transactions!F looks up customer_id from account_id so transactions can be rolled up per customer.</t>
  </si>
  <si>
    <t xml:space="preserve">Query results</t>
  </si>
  <si>
    <t xml:space="preserve">Query Log results were verified by running the script's queries against this data; Q11 also matches the pgAdmin output screenshot provided.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</si>
</sst>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\x"/>
    <numFmt numFmtId="168" formatCode="#,##0;\(#,##0\);\-"/>
    <numFmt numFmtId="169" formatCode="#,##0;\-;\-"/>
    <numFmt numFmtId="170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7F7F7F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balance by customer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'Customer Analysis'!E4</c:f>
              <c:strCache>
                <c:ptCount val="1"/>
                <c:pt idx="0">
                  <c:v>Total balance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Analysis'!$B$5:$B$12</c:f>
              <c:strCache>
                <c:ptCount val="8"/>
                <c:pt idx="0">
                  <c:v>Rohan Mehta</c:v>
                </c:pt>
                <c:pt idx="1">
                  <c:v>Ananya Iyer</c:v>
                </c:pt>
                <c:pt idx="2">
                  <c:v>Karan Malhotra</c:v>
                </c:pt>
                <c:pt idx="3">
                  <c:v>Priya Nair</c:v>
                </c:pt>
                <c:pt idx="4">
                  <c:v>Vikram Singh</c:v>
                </c:pt>
                <c:pt idx="5">
                  <c:v>Sneha Kulkarni</c:v>
                </c:pt>
                <c:pt idx="6">
                  <c:v>Arjun Reddy</c:v>
                </c:pt>
                <c:pt idx="7">
                  <c:v>Meera Joshi</c:v>
                </c:pt>
              </c:strCache>
            </c:strRef>
          </c:cat>
          <c:val>
            <c:numRef>
              <c:f>'Customer Analysis'!$E$5:$E$12</c:f>
              <c:numCache>
                <c:formatCode>#,##0</c:formatCode>
                <c:ptCount val="8"/>
                <c:pt idx="0">
                  <c:v>305000</c:v>
                </c:pt>
                <c:pt idx="1">
                  <c:v>82000</c:v>
                </c:pt>
                <c:pt idx="2">
                  <c:v>23000</c:v>
                </c:pt>
                <c:pt idx="3">
                  <c:v>230000</c:v>
                </c:pt>
                <c:pt idx="4">
                  <c:v>540000</c:v>
                </c:pt>
                <c:pt idx="5">
                  <c:v>67000</c:v>
                </c:pt>
                <c:pt idx="6">
                  <c:v>125000</c:v>
                </c:pt>
                <c:pt idx="7">
                  <c:v>38000</c:v>
                </c:pt>
              </c:numCache>
            </c:numRef>
          </c:val>
        </c:ser>
        <c:gapWidth val="150"/>
        <c:overlap val="0"/>
        <c:axId val="73679899"/>
        <c:axId val="57595241"/>
      </c:barChart>
      <c:catAx>
        <c:axId val="736798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95241"/>
        <c:crosses val="autoZero"/>
        <c:auto val="1"/>
        <c:lblAlgn val="ctr"/>
        <c:lblOffset val="100"/>
        <c:noMultiLvlLbl val="0"/>
      </c:catAx>
      <c:valAx>
        <c:axId val="57595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798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Loan amount by city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'City Analysis'!F4</c:f>
              <c:strCache>
                <c:ptCount val="1"/>
                <c:pt idx="0">
                  <c:v>Loan 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'City Analysis'!$A$5:$A$9</c:f>
              <c:strCache>
                <c:ptCount val="5"/>
                <c:pt idx="0">
                  <c:v>Mumbai</c:v>
                </c:pt>
                <c:pt idx="1">
                  <c:v>Delhi</c:v>
                </c:pt>
                <c:pt idx="2">
                  <c:v>Bengaluru</c:v>
                </c:pt>
                <c:pt idx="3">
                  <c:v>Chennai</c:v>
                </c:pt>
                <c:pt idx="4">
                  <c:v>Pune</c:v>
                </c:pt>
              </c:strCache>
            </c:strRef>
          </c:cat>
          <c:val>
            <c:numRef>
              <c:f>'City Analysis'!$F$5:$F$9</c:f>
              <c:numCache>
                <c:formatCode>#,##0;\-;\-</c:formatCode>
                <c:ptCount val="5"/>
                <c:pt idx="0">
                  <c:v>4000000</c:v>
                </c:pt>
                <c:pt idx="1">
                  <c:v>2200000</c:v>
                </c:pt>
                <c:pt idx="2">
                  <c:v>500000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86777241"/>
        <c:axId val="48668921"/>
      </c:barChart>
      <c:catAx>
        <c:axId val="86777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68921"/>
        <c:crosses val="autoZero"/>
        <c:auto val="1"/>
        <c:lblAlgn val="ctr"/>
        <c:lblOffset val="100"/>
        <c:noMultiLvlLbl val="0"/>
      </c:catAx>
      <c:valAx>
        <c:axId val="486689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772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160920</xdr:rowOff>
    </xdr:from>
    <xdr:to>
      <xdr:col>7</xdr:col>
      <xdr:colOff>42840</xdr:colOff>
      <xdr:row>29</xdr:row>
      <xdr:rowOff>2880</xdr:rowOff>
    </xdr:to>
    <xdr:graphicFrame>
      <xdr:nvGraphicFramePr>
        <xdr:cNvPr id="0" name="Chart 1"/>
        <xdr:cNvGraphicFramePr/>
      </xdr:nvGraphicFramePr>
      <xdr:xfrm>
        <a:off x="775440" y="30672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160920</xdr:rowOff>
    </xdr:from>
    <xdr:to>
      <xdr:col>5</xdr:col>
      <xdr:colOff>747720</xdr:colOff>
      <xdr:row>29</xdr:row>
      <xdr:rowOff>2880</xdr:rowOff>
    </xdr:to>
    <xdr:graphicFrame>
      <xdr:nvGraphicFramePr>
        <xdr:cNvPr id="1" name="Chart 1"/>
        <xdr:cNvGraphicFramePr/>
      </xdr:nvGraphicFramePr>
      <xdr:xfrm>
        <a:off x="0" y="30672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62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COUNTA(Customers!A:A)-1</f>
        <v>8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COUNTA(Accounts!A:A)-1</f>
        <v>10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f aca="false">SUM(Accounts!D:D)</f>
        <v>1410000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f aca="false">AVERAGE(Accounts!D:D)</f>
        <v>141000</v>
      </c>
      <c r="C8" s="6" t="s">
        <v>10</v>
      </c>
    </row>
    <row r="9" customFormat="false" ht="15" hidden="false" customHeight="false" outlineLevel="0" collapsed="false">
      <c r="A9" s="4" t="s">
        <v>12</v>
      </c>
      <c r="B9" s="5" t="n">
        <f aca="false">SUMIFS(Transactions!D:D,Transactions!C:C,"DEPOSIT")</f>
        <v>485000</v>
      </c>
      <c r="C9" s="6" t="s">
        <v>13</v>
      </c>
    </row>
    <row r="10" customFormat="false" ht="15" hidden="false" customHeight="false" outlineLevel="0" collapsed="false">
      <c r="A10" s="4" t="s">
        <v>14</v>
      </c>
      <c r="B10" s="5" t="n">
        <f aca="false">SUMIFS(Transactions!D:D,Transactions!C:C,"WITHDRAWAL")</f>
        <v>144000</v>
      </c>
      <c r="C10" s="6" t="s">
        <v>13</v>
      </c>
    </row>
    <row r="11" customFormat="false" ht="15" hidden="false" customHeight="false" outlineLevel="0" collapsed="false">
      <c r="A11" s="4" t="s">
        <v>15</v>
      </c>
      <c r="B11" s="5" t="n">
        <f aca="false">B9-B10</f>
        <v>341000</v>
      </c>
      <c r="C11" s="6" t="s">
        <v>16</v>
      </c>
    </row>
    <row r="12" customFormat="false" ht="15" hidden="false" customHeight="false" outlineLevel="0" collapsed="false">
      <c r="A12" s="4" t="s">
        <v>17</v>
      </c>
      <c r="B12" s="5" t="n">
        <f aca="false">SUM(Loans!C:C)</f>
        <v>6700000</v>
      </c>
      <c r="C12" s="6" t="s">
        <v>18</v>
      </c>
    </row>
    <row r="13" customFormat="false" ht="15" hidden="false" customHeight="false" outlineLevel="0" collapsed="false">
      <c r="A13" s="4" t="s">
        <v>19</v>
      </c>
      <c r="B13" s="5" t="n">
        <f aca="false">SUMIFS(Loans!C:C,Loans!D:D,"DEFAULTED")</f>
        <v>200000</v>
      </c>
      <c r="C13" s="6" t="s">
        <v>20</v>
      </c>
    </row>
    <row r="14" customFormat="false" ht="15" hidden="false" customHeight="false" outlineLevel="0" collapsed="false">
      <c r="A14" s="4" t="s">
        <v>21</v>
      </c>
      <c r="B14" s="7" t="n">
        <f aca="false">IF(B12=0,0,B13/B12)</f>
        <v>0.0298507462686567</v>
      </c>
      <c r="C14" s="6" t="s">
        <v>22</v>
      </c>
    </row>
    <row r="15" customFormat="false" ht="15" hidden="false" customHeight="false" outlineLevel="0" collapsed="false">
      <c r="A15" s="4" t="s">
        <v>23</v>
      </c>
      <c r="B15" s="5" t="n">
        <f aca="false">COUNTIF('Customer Analysis'!L5:L12,"&gt;0")</f>
        <v>4</v>
      </c>
      <c r="C15" s="6" t="s">
        <v>24</v>
      </c>
    </row>
    <row r="16" customFormat="false" ht="15" hidden="false" customHeight="false" outlineLevel="0" collapsed="false">
      <c r="A16" s="4" t="s">
        <v>25</v>
      </c>
      <c r="B16" s="5" t="n">
        <f aca="false">COUNTIF('Customer Analysis'!H5:H12,0)</f>
        <v>1</v>
      </c>
      <c r="C16" s="6" t="s">
        <v>26</v>
      </c>
    </row>
    <row r="17" customFormat="false" ht="15" hidden="false" customHeight="false" outlineLevel="0" collapsed="false">
      <c r="A17" s="4" t="s">
        <v>27</v>
      </c>
      <c r="B17" s="7" t="n">
        <f aca="false">MAX('Customer Analysis'!F5:F12)</f>
        <v>0.382978723404255</v>
      </c>
      <c r="C17" s="6" t="s">
        <v>28</v>
      </c>
    </row>
    <row r="18" customFormat="false" ht="15" hidden="false" customHeight="false" outlineLevel="0" collapsed="false">
      <c r="A18" s="4" t="s">
        <v>29</v>
      </c>
      <c r="B18" s="8" t="n">
        <f aca="false">IF(B7=0,0,B12/B7)</f>
        <v>4.75177304964539</v>
      </c>
      <c r="C18" s="6" t="s">
        <v>30</v>
      </c>
    </row>
    <row r="20" customFormat="false" ht="15" hidden="false" customHeight="false" outlineLevel="0" collapsed="false">
      <c r="A20" s="9" t="s">
        <v>31</v>
      </c>
    </row>
    <row r="21" customFormat="false" ht="31.5" hidden="false" customHeight="true" outlineLevel="0" collapsed="false">
      <c r="A21" s="3" t="s">
        <v>32</v>
      </c>
      <c r="B21" s="3" t="s">
        <v>33</v>
      </c>
      <c r="C21" s="3" t="s">
        <v>34</v>
      </c>
      <c r="D21" s="3" t="s">
        <v>35</v>
      </c>
    </row>
    <row r="22" customFormat="false" ht="57.75" hidden="false" customHeight="true" outlineLevel="0" collapsed="false">
      <c r="A22" s="10" t="s">
        <v>36</v>
      </c>
      <c r="B22" s="11" t="s">
        <v>37</v>
      </c>
      <c r="C22" s="11" t="str">
        <f aca="false">INDEX('Customer Analysis'!$B$5:$B$12,MATCH(1,'Customer Analysis'!$G$5:$G$12,0))&amp;" holds "&amp;TEXT(MAX('Customer Analysis'!$F$5:$F$12),"0.0%")&amp;" of all balances; the top 3 customers hold "&amp;TEXT(SUMIFS('Customer Analysis'!$E$5:$E$12,'Customer Analysis'!$G$5:$G$12,"&lt;=3")/'Customer Analysis'!$E$13,"0.0%")&amp;"."</f>
        <v>Vikram Singh holds 38.3% of all balances; the top 3 customers hold 76.2%.</v>
      </c>
      <c r="D22" s="11" t="s">
        <v>38</v>
      </c>
    </row>
    <row r="23" customFormat="false" ht="57.75" hidden="false" customHeight="true" outlineLevel="0" collapsed="false">
      <c r="A23" s="10" t="s">
        <v>39</v>
      </c>
      <c r="B23" s="11" t="s">
        <v>40</v>
      </c>
      <c r="C23" s="11" t="str">
        <f aca="false">"Deposits Rs "&amp;TEXT(B9,"#,##0")&amp;" vs withdrawals Rs "&amp;TEXT(B10,"#,##0")&amp;": net inflow Rs "&amp;TEXT(B11,"#,##0")&amp;" ("&amp;TEXT(B10/B9,"0.0%")&amp;" of deposits withdrawn)."</f>
        <v>Deposits Rs 485,000 vs withdrawals Rs 144,000: net inflow Rs 341,000 (29.7% of deposits withdrawn).</v>
      </c>
      <c r="D23" s="11" t="s">
        <v>41</v>
      </c>
    </row>
    <row r="24" customFormat="false" ht="57.75" hidden="false" customHeight="true" outlineLevel="0" collapsed="false">
      <c r="A24" s="10" t="s">
        <v>42</v>
      </c>
      <c r="B24" s="11" t="s">
        <v>43</v>
      </c>
      <c r="C24" s="11" t="str">
        <f aca="false">COUNTIF('Customer Analysis'!$D$5:$D$12,"&gt;1")&amp;" of "&amp;B5&amp;" customers hold more than one account."</f>
        <v>2 of 8 customers hold more than one account.</v>
      </c>
      <c r="D24" s="11" t="s">
        <v>44</v>
      </c>
    </row>
    <row r="25" customFormat="false" ht="57.75" hidden="false" customHeight="true" outlineLevel="0" collapsed="false">
      <c r="A25" s="10" t="s">
        <v>45</v>
      </c>
      <c r="B25" s="11" t="s">
        <v>46</v>
      </c>
      <c r="C25" s="11" t="str">
        <f aca="false">"Rs "&amp;TEXT(SUMIFS('Customer Analysis'!$E$5:$E$12,'Customer Analysis'!$H$5:$H$12,0),"#,##0")&amp;" sits with "&amp;B16&amp;" dormant customer(s)."</f>
        <v>Rs 38,000 sits with 1 dormant customer(s).</v>
      </c>
      <c r="D25" s="11" t="s">
        <v>47</v>
      </c>
    </row>
    <row r="26" customFormat="false" ht="57.75" hidden="false" customHeight="true" outlineLevel="0" collapsed="false">
      <c r="A26" s="10" t="s">
        <v>48</v>
      </c>
      <c r="B26" s="11" t="s">
        <v>49</v>
      </c>
      <c r="C26" s="11" t="str">
        <f aca="false">"Largest loan is Rs "&amp;TEXT(MAX('Customer Analysis'!$L$5:$L$12),"#,##0")&amp;" = "&amp;TEXT(MAX('Customer Analysis'!$L$5:$L$12)/B12,"0.0%")&amp;" of the loan book."</f>
        <v>Largest loan is Rs 4,000,000 = 59.7% of the loan book.</v>
      </c>
      <c r="D26" s="11" t="s">
        <v>50</v>
      </c>
    </row>
    <row r="27" customFormat="false" ht="57.75" hidden="false" customHeight="true" outlineLevel="0" collapsed="false">
      <c r="A27" s="10" t="s">
        <v>51</v>
      </c>
      <c r="B27" s="11" t="s">
        <v>52</v>
      </c>
      <c r="C27" s="11" t="str">
        <f aca="false">"Highest loan-to-balance: "&amp;INDEX('Customer Analysis'!$B$5:$B$12,MATCH(MAX('Customer Analysis'!$N$5:$N$12),'Customer Analysis'!$N$5:$N$12,0))&amp;" at "&amp;TEXT(MAX('Customer Analysis'!$N$5:$N$12),"0.0")&amp;"x (flag threshold "&amp;TEXT(Notes!$B$6,"0.0")&amp;"x)."</f>
        <v>Highest loan-to-balance: Rohan Mehta at 13.1x (flag threshold 5.0x).</v>
      </c>
      <c r="D27" s="11" t="s">
        <v>53</v>
      </c>
    </row>
    <row r="28" customFormat="false" ht="57.75" hidden="false" customHeight="true" outlineLevel="0" collapsed="false">
      <c r="A28" s="10" t="s">
        <v>54</v>
      </c>
      <c r="B28" s="11" t="s">
        <v>55</v>
      </c>
      <c r="C28" s="11" t="str">
        <f aca="false">"Defaulted Rs "&amp;TEXT(B13,"#,##0")&amp;" = "&amp;TEXT(B14,"0.0%")&amp;" of loan book; the defaulter holds Rs "&amp;TEXT(SUMIFS('Customer Analysis'!$E$5:$E$12,'Customer Analysis'!$M$5:$M$12,"&gt;0"),"#,##0")&amp;" in deposits ("&amp;TEXT(SUMIFS('Customer Analysis'!$E$5:$E$12,'Customer Analysis'!$M$5:$M$12,"&gt;0")/B13,"0.0%")&amp;" cover)."</f>
        <v>Defaulted Rs 200,000 = 3.0% of loan book; the defaulter holds Rs 23,000 in deposits (11.5% cover).</v>
      </c>
      <c r="D28" s="11" t="s">
        <v>56</v>
      </c>
    </row>
    <row r="29" customFormat="false" ht="57.75" hidden="false" customHeight="true" outlineLevel="0" collapsed="false">
      <c r="A29" s="10" t="s">
        <v>57</v>
      </c>
      <c r="B29" s="11" t="s">
        <v>58</v>
      </c>
      <c r="C29" s="11" t="str">
        <f aca="false">"Mumbai: "&amp;TEXT(INDEX('City Analysis'!$G$5:$G$9,MATCH("Mumbai",'City Analysis'!$A$5:$A$9,0)),"0.0%")&amp;" of loans vs "&amp;TEXT(INDEX('City Analysis'!$C$5:$C$9,MATCH("Mumbai",'City Analysis'!$A$5:$A$9,0)),"0.0%")&amp;" of customers."</f>
        <v>Mumbai: 59.7% of loans vs 25.0% of customers.</v>
      </c>
      <c r="D29" s="11" t="s">
        <v>59</v>
      </c>
    </row>
    <row r="30" customFormat="false" ht="57.75" hidden="false" customHeight="true" outlineLevel="0" collapsed="false">
      <c r="A30" s="10" t="s">
        <v>60</v>
      </c>
      <c r="B30" s="11" t="s">
        <v>61</v>
      </c>
      <c r="C30" s="11" t="str">
        <f aca="false">COUNTIF('Customer Analysis'!$L$5:$L$12,0)&amp;" customers have no loan, holding Rs "&amp;TEXT(SUMIFS('Customer Analysis'!$E$5:$E$12,'Customer Analysis'!$L$5:$L$12,0),"#,##0")&amp;" in balances (includes the dormant customer)."</f>
        <v>4 customers have no loan, holding Rs 312,000 in balances (includes the dormant customer).</v>
      </c>
      <c r="D30" s="11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1" min="9" style="0" width="12"/>
    <col collapsed="false" customWidth="true" hidden="false" outlineLevel="0" max="14" min="12" style="0" width="13"/>
    <col collapsed="false" customWidth="true" hidden="false" outlineLevel="0" max="15" min="15" style="0" width="26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31.5" hidden="false" customHeight="true" outlineLevel="0" collapsed="false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77</v>
      </c>
      <c r="N4" s="3" t="s">
        <v>78</v>
      </c>
      <c r="O4" s="3" t="s">
        <v>79</v>
      </c>
    </row>
    <row r="5" customFormat="false" ht="15" hidden="false" customHeight="false" outlineLevel="0" collapsed="false">
      <c r="A5" s="6" t="n">
        <f aca="false">Customers!A2</f>
        <v>1</v>
      </c>
      <c r="B5" s="6" t="str">
        <f aca="false">Customers!B2</f>
        <v>Rohan Mehta</v>
      </c>
      <c r="C5" s="6" t="str">
        <f aca="false">Customers!C2</f>
        <v>Mumbai</v>
      </c>
      <c r="D5" s="6" t="n">
        <f aca="false">COUNTIF(Accounts!$B:$B,$A5)</f>
        <v>2</v>
      </c>
      <c r="E5" s="12" t="n">
        <f aca="false">SUMIFS(Accounts!$D:$D,Accounts!$B:$B,$A5)</f>
        <v>305000</v>
      </c>
      <c r="F5" s="13" t="n">
        <f aca="false">E5/$E$13</f>
        <v>0.216312056737589</v>
      </c>
      <c r="G5" s="6" t="n">
        <f aca="false">RANK(E5,$E$5:$E$12)</f>
        <v>2</v>
      </c>
      <c r="H5" s="6" t="n">
        <f aca="false">COUNTIF(Transactions!$F:$F,$A5)</f>
        <v>3</v>
      </c>
      <c r="I5" s="12" t="n">
        <f aca="false">SUMIFS(Transactions!$D:$D,Transactions!$F:$F,$A5,Transactions!$C:$C,"DEPOSIT")</f>
        <v>32000</v>
      </c>
      <c r="J5" s="12" t="n">
        <f aca="false">SUMIFS(Transactions!$D:$D,Transactions!$F:$F,$A5,Transactions!$C:$C,"WITHDRAWAL")</f>
        <v>5000</v>
      </c>
      <c r="K5" s="14" t="n">
        <f aca="false">I5-J5</f>
        <v>27000</v>
      </c>
      <c r="L5" s="15" t="n">
        <f aca="false">SUMIFS(Loans!$C:$C,Loans!$B:$B,$A5)</f>
        <v>4000000</v>
      </c>
      <c r="M5" s="15" t="n">
        <f aca="false">SUMIFS(Loans!$C:$C,Loans!$B:$B,$A5,Loans!$D:$D,"DEFAULTED")</f>
        <v>0</v>
      </c>
      <c r="N5" s="16" t="n">
        <f aca="false">IF(E5=0,0,L5/E5)</f>
        <v>13.1147540983607</v>
      </c>
      <c r="O5" s="17" t="str">
        <f aca="false">IF(H5=0,"Dormant - re-engage",IF(M5&gt;0,"Default - recovery focus",IF(N5&gt;Notes!$B$6,"High leverage - monitor",IF(L5=0,"No loan - cross-sell","Standard"))))</f>
        <v>High leverage - monitor</v>
      </c>
    </row>
    <row r="6" customFormat="false" ht="15" hidden="false" customHeight="false" outlineLevel="0" collapsed="false">
      <c r="A6" s="6" t="n">
        <f aca="false">Customers!A3</f>
        <v>2</v>
      </c>
      <c r="B6" s="6" t="str">
        <f aca="false">Customers!B3</f>
        <v>Ananya Iyer</v>
      </c>
      <c r="C6" s="6" t="str">
        <f aca="false">Customers!C3</f>
        <v>Chennai</v>
      </c>
      <c r="D6" s="6" t="n">
        <f aca="false">COUNTIF(Accounts!$B:$B,$A6)</f>
        <v>1</v>
      </c>
      <c r="E6" s="12" t="n">
        <f aca="false">SUMIFS(Accounts!$D:$D,Accounts!$B:$B,$A6)</f>
        <v>82000</v>
      </c>
      <c r="F6" s="13" t="n">
        <f aca="false">E6/$E$13</f>
        <v>0.0581560283687943</v>
      </c>
      <c r="G6" s="6" t="n">
        <f aca="false">RANK(E6,$E$5:$E$12)</f>
        <v>5</v>
      </c>
      <c r="H6" s="6" t="n">
        <f aca="false">COUNTIF(Transactions!$F:$F,$A6)</f>
        <v>2</v>
      </c>
      <c r="I6" s="12" t="n">
        <f aca="false">SUMIFS(Transactions!$D:$D,Transactions!$F:$F,$A6,Transactions!$C:$C,"DEPOSIT")</f>
        <v>30000</v>
      </c>
      <c r="J6" s="12" t="n">
        <f aca="false">SUMIFS(Transactions!$D:$D,Transactions!$F:$F,$A6,Transactions!$C:$C,"WITHDRAWAL")</f>
        <v>7000</v>
      </c>
      <c r="K6" s="14" t="n">
        <f aca="false">I6-J6</f>
        <v>23000</v>
      </c>
      <c r="L6" s="15" t="n">
        <f aca="false">SUMIFS(Loans!$C:$C,Loans!$B:$B,$A6)</f>
        <v>0</v>
      </c>
      <c r="M6" s="15" t="n">
        <f aca="false">SUMIFS(Loans!$C:$C,Loans!$B:$B,$A6,Loans!$D:$D,"DEFAULTED")</f>
        <v>0</v>
      </c>
      <c r="N6" s="16" t="n">
        <f aca="false">IF(E6=0,0,L6/E6)</f>
        <v>0</v>
      </c>
      <c r="O6" s="17" t="str">
        <f aca="false">IF(H6=0,"Dormant - re-engage",IF(M6&gt;0,"Default - recovery focus",IF(N6&gt;Notes!$B$6,"High leverage - monitor",IF(L6=0,"No loan - cross-sell","Standard"))))</f>
        <v>No loan - cross-sell</v>
      </c>
    </row>
    <row r="7" customFormat="false" ht="15" hidden="false" customHeight="false" outlineLevel="0" collapsed="false">
      <c r="A7" s="6" t="n">
        <f aca="false">Customers!A4</f>
        <v>3</v>
      </c>
      <c r="B7" s="6" t="str">
        <f aca="false">Customers!B4</f>
        <v>Karan Malhotra</v>
      </c>
      <c r="C7" s="6" t="str">
        <f aca="false">Customers!C4</f>
        <v>Delhi</v>
      </c>
      <c r="D7" s="6" t="n">
        <f aca="false">COUNTIF(Accounts!$B:$B,$A7)</f>
        <v>2</v>
      </c>
      <c r="E7" s="12" t="n">
        <f aca="false">SUMIFS(Accounts!$D:$D,Accounts!$B:$B,$A7)</f>
        <v>23000</v>
      </c>
      <c r="F7" s="13" t="n">
        <f aca="false">E7/$E$13</f>
        <v>0.0163120567375887</v>
      </c>
      <c r="G7" s="6" t="n">
        <f aca="false">RANK(E7,$E$5:$E$12)</f>
        <v>8</v>
      </c>
      <c r="H7" s="6" t="n">
        <f aca="false">COUNTIF(Transactions!$F:$F,$A7)</f>
        <v>3</v>
      </c>
      <c r="I7" s="12" t="n">
        <f aca="false">SUMIFS(Transactions!$D:$D,Transactions!$F:$F,$A7,Transactions!$C:$C,"DEPOSIT")</f>
        <v>23000</v>
      </c>
      <c r="J7" s="12" t="n">
        <f aca="false">SUMIFS(Transactions!$D:$D,Transactions!$F:$F,$A7,Transactions!$C:$C,"WITHDRAWAL")</f>
        <v>2000</v>
      </c>
      <c r="K7" s="14" t="n">
        <f aca="false">I7-J7</f>
        <v>21000</v>
      </c>
      <c r="L7" s="15" t="n">
        <f aca="false">SUMIFS(Loans!$C:$C,Loans!$B:$B,$A7)</f>
        <v>200000</v>
      </c>
      <c r="M7" s="15" t="n">
        <f aca="false">SUMIFS(Loans!$C:$C,Loans!$B:$B,$A7,Loans!$D:$D,"DEFAULTED")</f>
        <v>200000</v>
      </c>
      <c r="N7" s="16" t="n">
        <f aca="false">IF(E7=0,0,L7/E7)</f>
        <v>8.69565217391304</v>
      </c>
      <c r="O7" s="17" t="str">
        <f aca="false">IF(H7=0,"Dormant - re-engage",IF(M7&gt;0,"Default - recovery focus",IF(N7&gt;Notes!$B$6,"High leverage - monitor",IF(L7=0,"No loan - cross-sell","Standard"))))</f>
        <v>Default - recovery focus</v>
      </c>
    </row>
    <row r="8" customFormat="false" ht="15" hidden="false" customHeight="false" outlineLevel="0" collapsed="false">
      <c r="A8" s="6" t="n">
        <f aca="false">Customers!A5</f>
        <v>4</v>
      </c>
      <c r="B8" s="6" t="str">
        <f aca="false">Customers!B5</f>
        <v>Priya Nair</v>
      </c>
      <c r="C8" s="6" t="str">
        <f aca="false">Customers!C5</f>
        <v>Bengaluru</v>
      </c>
      <c r="D8" s="6" t="n">
        <f aca="false">COUNTIF(Accounts!$B:$B,$A8)</f>
        <v>1</v>
      </c>
      <c r="E8" s="12" t="n">
        <f aca="false">SUMIFS(Accounts!$D:$D,Accounts!$B:$B,$A8)</f>
        <v>230000</v>
      </c>
      <c r="F8" s="13" t="n">
        <f aca="false">E8/$E$13</f>
        <v>0.163120567375887</v>
      </c>
      <c r="G8" s="6" t="n">
        <f aca="false">RANK(E8,$E$5:$E$12)</f>
        <v>3</v>
      </c>
      <c r="H8" s="6" t="n">
        <f aca="false">COUNTIF(Transactions!$F:$F,$A8)</f>
        <v>2</v>
      </c>
      <c r="I8" s="12" t="n">
        <f aca="false">SUMIFS(Transactions!$D:$D,Transactions!$F:$F,$A8,Transactions!$C:$C,"DEPOSIT")</f>
        <v>50000</v>
      </c>
      <c r="J8" s="12" t="n">
        <f aca="false">SUMIFS(Transactions!$D:$D,Transactions!$F:$F,$A8,Transactions!$C:$C,"WITHDRAWAL")</f>
        <v>10000</v>
      </c>
      <c r="K8" s="14" t="n">
        <f aca="false">I8-J8</f>
        <v>40000</v>
      </c>
      <c r="L8" s="15" t="n">
        <f aca="false">SUMIFS(Loans!$C:$C,Loans!$B:$B,$A8)</f>
        <v>500000</v>
      </c>
      <c r="M8" s="15" t="n">
        <f aca="false">SUMIFS(Loans!$C:$C,Loans!$B:$B,$A8,Loans!$D:$D,"DEFAULTED")</f>
        <v>0</v>
      </c>
      <c r="N8" s="16" t="n">
        <f aca="false">IF(E8=0,0,L8/E8)</f>
        <v>2.17391304347826</v>
      </c>
      <c r="O8" s="17" t="str">
        <f aca="false">IF(H8=0,"Dormant - re-engage",IF(M8&gt;0,"Default - recovery focus",IF(N8&gt;Notes!$B$6,"High leverage - monitor",IF(L8=0,"No loan - cross-sell","Standard"))))</f>
        <v>Standard</v>
      </c>
    </row>
    <row r="9" customFormat="false" ht="15" hidden="false" customHeight="false" outlineLevel="0" collapsed="false">
      <c r="A9" s="6" t="n">
        <f aca="false">Customers!A6</f>
        <v>5</v>
      </c>
      <c r="B9" s="6" t="str">
        <f aca="false">Customers!B6</f>
        <v>Vikram Singh</v>
      </c>
      <c r="C9" s="6" t="str">
        <f aca="false">Customers!C6</f>
        <v>Delhi</v>
      </c>
      <c r="D9" s="6" t="n">
        <f aca="false">COUNTIF(Accounts!$B:$B,$A9)</f>
        <v>1</v>
      </c>
      <c r="E9" s="12" t="n">
        <f aca="false">SUMIFS(Accounts!$D:$D,Accounts!$B:$B,$A9)</f>
        <v>540000</v>
      </c>
      <c r="F9" s="13" t="n">
        <f aca="false">E9/$E$13</f>
        <v>0.382978723404255</v>
      </c>
      <c r="G9" s="6" t="n">
        <f aca="false">RANK(E9,$E$5:$E$12)</f>
        <v>1</v>
      </c>
      <c r="H9" s="6" t="n">
        <f aca="false">COUNTIF(Transactions!$F:$F,$A9)</f>
        <v>2</v>
      </c>
      <c r="I9" s="12" t="n">
        <f aca="false">SUMIFS(Transactions!$D:$D,Transactions!$F:$F,$A9,Transactions!$C:$C,"DEPOSIT")</f>
        <v>250000</v>
      </c>
      <c r="J9" s="12" t="n">
        <f aca="false">SUMIFS(Transactions!$D:$D,Transactions!$F:$F,$A9,Transactions!$C:$C,"WITHDRAWAL")</f>
        <v>100000</v>
      </c>
      <c r="K9" s="14" t="n">
        <f aca="false">I9-J9</f>
        <v>150000</v>
      </c>
      <c r="L9" s="15" t="n">
        <f aca="false">SUMIFS(Loans!$C:$C,Loans!$B:$B,$A9)</f>
        <v>2000000</v>
      </c>
      <c r="M9" s="15" t="n">
        <f aca="false">SUMIFS(Loans!$C:$C,Loans!$B:$B,$A9,Loans!$D:$D,"DEFAULTED")</f>
        <v>0</v>
      </c>
      <c r="N9" s="16" t="n">
        <f aca="false">IF(E9=0,0,L9/E9)</f>
        <v>3.7037037037037</v>
      </c>
      <c r="O9" s="17" t="str">
        <f aca="false">IF(H9=0,"Dormant - re-engage",IF(M9&gt;0,"Default - recovery focus",IF(N9&gt;Notes!$B$6,"High leverage - monitor",IF(L9=0,"No loan - cross-sell","Standard"))))</f>
        <v>Standard</v>
      </c>
    </row>
    <row r="10" customFormat="false" ht="15" hidden="false" customHeight="false" outlineLevel="0" collapsed="false">
      <c r="A10" s="6" t="n">
        <f aca="false">Customers!A7</f>
        <v>6</v>
      </c>
      <c r="B10" s="6" t="str">
        <f aca="false">Customers!B7</f>
        <v>Sneha Kulkarni</v>
      </c>
      <c r="C10" s="6" t="str">
        <f aca="false">Customers!C7</f>
        <v>Pune</v>
      </c>
      <c r="D10" s="6" t="n">
        <f aca="false">COUNTIF(Accounts!$B:$B,$A10)</f>
        <v>1</v>
      </c>
      <c r="E10" s="12" t="n">
        <f aca="false">SUMIFS(Accounts!$D:$D,Accounts!$B:$B,$A10)</f>
        <v>67000</v>
      </c>
      <c r="F10" s="13" t="n">
        <f aca="false">E10/$E$13</f>
        <v>0.0475177304964539</v>
      </c>
      <c r="G10" s="6" t="n">
        <f aca="false">RANK(E10,$E$5:$E$12)</f>
        <v>6</v>
      </c>
      <c r="H10" s="6" t="n">
        <f aca="false">COUNTIF(Transactions!$F:$F,$A10)</f>
        <v>1</v>
      </c>
      <c r="I10" s="12" t="n">
        <f aca="false">SUMIFS(Transactions!$D:$D,Transactions!$F:$F,$A10,Transactions!$C:$C,"DEPOSIT")</f>
        <v>40000</v>
      </c>
      <c r="J10" s="12" t="n">
        <f aca="false">SUMIFS(Transactions!$D:$D,Transactions!$F:$F,$A10,Transactions!$C:$C,"WITHDRAWAL")</f>
        <v>0</v>
      </c>
      <c r="K10" s="14" t="n">
        <f aca="false">I10-J10</f>
        <v>40000</v>
      </c>
      <c r="L10" s="15" t="n">
        <f aca="false">SUMIFS(Loans!$C:$C,Loans!$B:$B,$A10)</f>
        <v>0</v>
      </c>
      <c r="M10" s="15" t="n">
        <f aca="false">SUMIFS(Loans!$C:$C,Loans!$B:$B,$A10,Loans!$D:$D,"DEFAULTED")</f>
        <v>0</v>
      </c>
      <c r="N10" s="16" t="n">
        <f aca="false">IF(E10=0,0,L10/E10)</f>
        <v>0</v>
      </c>
      <c r="O10" s="17" t="str">
        <f aca="false">IF(H10=0,"Dormant - re-engage",IF(M10&gt;0,"Default - recovery focus",IF(N10&gt;Notes!$B$6,"High leverage - monitor",IF(L10=0,"No loan - cross-sell","Standard"))))</f>
        <v>No loan - cross-sell</v>
      </c>
    </row>
    <row r="11" customFormat="false" ht="15" hidden="false" customHeight="false" outlineLevel="0" collapsed="false">
      <c r="A11" s="6" t="n">
        <f aca="false">Customers!A8</f>
        <v>7</v>
      </c>
      <c r="B11" s="6" t="str">
        <f aca="false">Customers!B8</f>
        <v>Arjun Reddy</v>
      </c>
      <c r="C11" s="6" t="str">
        <f aca="false">Customers!C8</f>
        <v>Bengaluru</v>
      </c>
      <c r="D11" s="6" t="n">
        <f aca="false">COUNTIF(Accounts!$B:$B,$A11)</f>
        <v>1</v>
      </c>
      <c r="E11" s="12" t="n">
        <f aca="false">SUMIFS(Accounts!$D:$D,Accounts!$B:$B,$A11)</f>
        <v>125000</v>
      </c>
      <c r="F11" s="13" t="n">
        <f aca="false">E11/$E$13</f>
        <v>0.0886524822695036</v>
      </c>
      <c r="G11" s="6" t="n">
        <f aca="false">RANK(E11,$E$5:$E$12)</f>
        <v>4</v>
      </c>
      <c r="H11" s="6" t="n">
        <f aca="false">COUNTIF(Transactions!$F:$F,$A11)</f>
        <v>2</v>
      </c>
      <c r="I11" s="12" t="n">
        <f aca="false">SUMIFS(Transactions!$D:$D,Transactions!$F:$F,$A11,Transactions!$C:$C,"DEPOSIT")</f>
        <v>60000</v>
      </c>
      <c r="J11" s="12" t="n">
        <f aca="false">SUMIFS(Transactions!$D:$D,Transactions!$F:$F,$A11,Transactions!$C:$C,"WITHDRAWAL")</f>
        <v>20000</v>
      </c>
      <c r="K11" s="14" t="n">
        <f aca="false">I11-J11</f>
        <v>40000</v>
      </c>
      <c r="L11" s="15" t="n">
        <f aca="false">SUMIFS(Loans!$C:$C,Loans!$B:$B,$A11)</f>
        <v>0</v>
      </c>
      <c r="M11" s="15" t="n">
        <f aca="false">SUMIFS(Loans!$C:$C,Loans!$B:$B,$A11,Loans!$D:$D,"DEFAULTED")</f>
        <v>0</v>
      </c>
      <c r="N11" s="16" t="n">
        <f aca="false">IF(E11=0,0,L11/E11)</f>
        <v>0</v>
      </c>
      <c r="O11" s="17" t="str">
        <f aca="false">IF(H11=0,"Dormant - re-engage",IF(M11&gt;0,"Default - recovery focus",IF(N11&gt;Notes!$B$6,"High leverage - monitor",IF(L11=0,"No loan - cross-sell","Standard"))))</f>
        <v>No loan - cross-sell</v>
      </c>
    </row>
    <row r="12" customFormat="false" ht="15" hidden="false" customHeight="false" outlineLevel="0" collapsed="false">
      <c r="A12" s="6" t="n">
        <f aca="false">Customers!A9</f>
        <v>8</v>
      </c>
      <c r="B12" s="6" t="str">
        <f aca="false">Customers!B9</f>
        <v>Meera Joshi</v>
      </c>
      <c r="C12" s="6" t="str">
        <f aca="false">Customers!C9</f>
        <v>Mumbai</v>
      </c>
      <c r="D12" s="6" t="n">
        <f aca="false">COUNTIF(Accounts!$B:$B,$A12)</f>
        <v>1</v>
      </c>
      <c r="E12" s="12" t="n">
        <f aca="false">SUMIFS(Accounts!$D:$D,Accounts!$B:$B,$A12)</f>
        <v>38000</v>
      </c>
      <c r="F12" s="13" t="n">
        <f aca="false">E12/$E$13</f>
        <v>0.0269503546099291</v>
      </c>
      <c r="G12" s="6" t="n">
        <f aca="false">RANK(E12,$E$5:$E$12)</f>
        <v>7</v>
      </c>
      <c r="H12" s="6" t="n">
        <f aca="false">COUNTIF(Transactions!$F:$F,$A12)</f>
        <v>0</v>
      </c>
      <c r="I12" s="12" t="n">
        <f aca="false">SUMIFS(Transactions!$D:$D,Transactions!$F:$F,$A12,Transactions!$C:$C,"DEPOSIT")</f>
        <v>0</v>
      </c>
      <c r="J12" s="12" t="n">
        <f aca="false">SUMIFS(Transactions!$D:$D,Transactions!$F:$F,$A12,Transactions!$C:$C,"WITHDRAWAL")</f>
        <v>0</v>
      </c>
      <c r="K12" s="14" t="n">
        <f aca="false">I12-J12</f>
        <v>0</v>
      </c>
      <c r="L12" s="15" t="n">
        <f aca="false">SUMIFS(Loans!$C:$C,Loans!$B:$B,$A12)</f>
        <v>0</v>
      </c>
      <c r="M12" s="15" t="n">
        <f aca="false">SUMIFS(Loans!$C:$C,Loans!$B:$B,$A12,Loans!$D:$D,"DEFAULTED")</f>
        <v>0</v>
      </c>
      <c r="N12" s="16" t="n">
        <f aca="false">IF(E12=0,0,L12/E12)</f>
        <v>0</v>
      </c>
      <c r="O12" s="17" t="str">
        <f aca="false">IF(H12=0,"Dormant - re-engage",IF(M12&gt;0,"Default - recovery focus",IF(N12&gt;Notes!$B$6,"High leverage - monitor",IF(L12=0,"No loan - cross-sell","Standard"))))</f>
        <v>Dormant - re-engage</v>
      </c>
    </row>
    <row r="13" customFormat="false" ht="15" hidden="false" customHeight="false" outlineLevel="0" collapsed="false">
      <c r="A13" s="18" t="s">
        <v>80</v>
      </c>
      <c r="B13" s="18"/>
      <c r="C13" s="18"/>
      <c r="D13" s="18" t="n">
        <f aca="false">SUM(D5:D12)</f>
        <v>10</v>
      </c>
      <c r="E13" s="19" t="n">
        <f aca="false">SUM(E5:E12)</f>
        <v>1410000</v>
      </c>
      <c r="F13" s="20" t="n">
        <f aca="false">SUM(F5:F12)</f>
        <v>1</v>
      </c>
      <c r="G13" s="18"/>
      <c r="H13" s="18" t="n">
        <f aca="false">SUM(H5:H12)</f>
        <v>15</v>
      </c>
      <c r="I13" s="19" t="n">
        <f aca="false">SUM(I5:I12)</f>
        <v>485000</v>
      </c>
      <c r="J13" s="19" t="n">
        <f aca="false">SUM(J5:J12)</f>
        <v>144000</v>
      </c>
      <c r="K13" s="21" t="n">
        <f aca="false">SUM(K5:K12)</f>
        <v>341000</v>
      </c>
      <c r="L13" s="22" t="n">
        <f aca="false">SUM(L5:L12)</f>
        <v>6700000</v>
      </c>
      <c r="M13" s="22" t="n">
        <f aca="false">SUM(M5:M12)</f>
        <v>200000</v>
      </c>
      <c r="N13" s="23" t="n">
        <f aca="false">IF(E13=0,0,L13/E13)</f>
        <v>4.75177304964539</v>
      </c>
      <c r="O13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31.5" hidden="false" customHeight="true" outlineLevel="0" collapsed="false">
      <c r="A4" s="3" t="s">
        <v>67</v>
      </c>
      <c r="B4" s="3" t="s">
        <v>83</v>
      </c>
      <c r="C4" s="3" t="s">
        <v>84</v>
      </c>
      <c r="D4" s="3" t="s">
        <v>69</v>
      </c>
      <c r="E4" s="3" t="s">
        <v>85</v>
      </c>
      <c r="F4" s="3" t="s">
        <v>76</v>
      </c>
      <c r="G4" s="3" t="s">
        <v>86</v>
      </c>
      <c r="H4" s="3" t="s">
        <v>78</v>
      </c>
      <c r="I4" s="3" t="s">
        <v>77</v>
      </c>
    </row>
    <row r="5" customFormat="false" ht="15" hidden="false" customHeight="false" outlineLevel="0" collapsed="false">
      <c r="A5" s="6" t="s">
        <v>87</v>
      </c>
      <c r="B5" s="6" t="n">
        <f aca="false">COUNTIF(Customers!$C:$C,$A5)</f>
        <v>2</v>
      </c>
      <c r="C5" s="13" t="n">
        <f aca="false">B5/$B$10</f>
        <v>0.25</v>
      </c>
      <c r="D5" s="12" t="n">
        <f aca="false">SUMIFS('Customer Analysis'!$E$5:$E$12,'Customer Analysis'!$C$5:$C$12,$A5)</f>
        <v>343000</v>
      </c>
      <c r="E5" s="13" t="n">
        <f aca="false">D5/$D$10</f>
        <v>0.243262411347518</v>
      </c>
      <c r="F5" s="15" t="n">
        <f aca="false">SUMIFS('Customer Analysis'!$L$5:$L$12,'Customer Analysis'!$C$5:$C$12,$A5)</f>
        <v>4000000</v>
      </c>
      <c r="G5" s="13" t="n">
        <f aca="false">F5/$F$10</f>
        <v>0.597014925373134</v>
      </c>
      <c r="H5" s="16" t="n">
        <f aca="false">IF(D5=0,0,F5/D5)</f>
        <v>11.6618075801749</v>
      </c>
      <c r="I5" s="15" t="n">
        <f aca="false">SUMIFS('Customer Analysis'!$M$5:$M$12,'Customer Analysis'!$C$5:$C$12,$A5)</f>
        <v>0</v>
      </c>
    </row>
    <row r="6" customFormat="false" ht="15" hidden="false" customHeight="false" outlineLevel="0" collapsed="false">
      <c r="A6" s="6" t="s">
        <v>88</v>
      </c>
      <c r="B6" s="6" t="n">
        <f aca="false">COUNTIF(Customers!$C:$C,$A6)</f>
        <v>2</v>
      </c>
      <c r="C6" s="13" t="n">
        <f aca="false">B6/$B$10</f>
        <v>0.25</v>
      </c>
      <c r="D6" s="12" t="n">
        <f aca="false">SUMIFS('Customer Analysis'!$E$5:$E$12,'Customer Analysis'!$C$5:$C$12,$A6)</f>
        <v>563000</v>
      </c>
      <c r="E6" s="13" t="n">
        <f aca="false">D6/$D$10</f>
        <v>0.399290780141844</v>
      </c>
      <c r="F6" s="15" t="n">
        <f aca="false">SUMIFS('Customer Analysis'!$L$5:$L$12,'Customer Analysis'!$C$5:$C$12,$A6)</f>
        <v>2200000</v>
      </c>
      <c r="G6" s="13" t="n">
        <f aca="false">F6/$F$10</f>
        <v>0.328358208955224</v>
      </c>
      <c r="H6" s="16" t="n">
        <f aca="false">IF(D6=0,0,F6/D6)</f>
        <v>3.90763765541741</v>
      </c>
      <c r="I6" s="15" t="n">
        <f aca="false">SUMIFS('Customer Analysis'!$M$5:$M$12,'Customer Analysis'!$C$5:$C$12,$A6)</f>
        <v>200000</v>
      </c>
    </row>
    <row r="7" customFormat="false" ht="15" hidden="false" customHeight="false" outlineLevel="0" collapsed="false">
      <c r="A7" s="6" t="s">
        <v>89</v>
      </c>
      <c r="B7" s="6" t="n">
        <f aca="false">COUNTIF(Customers!$C:$C,$A7)</f>
        <v>2</v>
      </c>
      <c r="C7" s="13" t="n">
        <f aca="false">B7/$B$10</f>
        <v>0.25</v>
      </c>
      <c r="D7" s="12" t="n">
        <f aca="false">SUMIFS('Customer Analysis'!$E$5:$E$12,'Customer Analysis'!$C$5:$C$12,$A7)</f>
        <v>355000</v>
      </c>
      <c r="E7" s="13" t="n">
        <f aca="false">D7/$D$10</f>
        <v>0.25177304964539</v>
      </c>
      <c r="F7" s="15" t="n">
        <f aca="false">SUMIFS('Customer Analysis'!$L$5:$L$12,'Customer Analysis'!$C$5:$C$12,$A7)</f>
        <v>500000</v>
      </c>
      <c r="G7" s="13" t="n">
        <f aca="false">F7/$F$10</f>
        <v>0.0746268656716418</v>
      </c>
      <c r="H7" s="16" t="n">
        <f aca="false">IF(D7=0,0,F7/D7)</f>
        <v>1.40845070422535</v>
      </c>
      <c r="I7" s="15" t="n">
        <f aca="false">SUMIFS('Customer Analysis'!$M$5:$M$12,'Customer Analysis'!$C$5:$C$12,$A7)</f>
        <v>0</v>
      </c>
    </row>
    <row r="8" customFormat="false" ht="15" hidden="false" customHeight="false" outlineLevel="0" collapsed="false">
      <c r="A8" s="6" t="s">
        <v>90</v>
      </c>
      <c r="B8" s="6" t="n">
        <f aca="false">COUNTIF(Customers!$C:$C,$A8)</f>
        <v>1</v>
      </c>
      <c r="C8" s="13" t="n">
        <f aca="false">B8/$B$10</f>
        <v>0.125</v>
      </c>
      <c r="D8" s="12" t="n">
        <f aca="false">SUMIFS('Customer Analysis'!$E$5:$E$12,'Customer Analysis'!$C$5:$C$12,$A8)</f>
        <v>82000</v>
      </c>
      <c r="E8" s="13" t="n">
        <f aca="false">D8/$D$10</f>
        <v>0.0581560283687943</v>
      </c>
      <c r="F8" s="15" t="n">
        <f aca="false">SUMIFS('Customer Analysis'!$L$5:$L$12,'Customer Analysis'!$C$5:$C$12,$A8)</f>
        <v>0</v>
      </c>
      <c r="G8" s="13" t="n">
        <f aca="false">F8/$F$10</f>
        <v>0</v>
      </c>
      <c r="H8" s="16" t="n">
        <f aca="false">IF(D8=0,0,F8/D8)</f>
        <v>0</v>
      </c>
      <c r="I8" s="15" t="n">
        <f aca="false">SUMIFS('Customer Analysis'!$M$5:$M$12,'Customer Analysis'!$C$5:$C$12,$A8)</f>
        <v>0</v>
      </c>
    </row>
    <row r="9" customFormat="false" ht="15" hidden="false" customHeight="false" outlineLevel="0" collapsed="false">
      <c r="A9" s="6" t="s">
        <v>91</v>
      </c>
      <c r="B9" s="6" t="n">
        <f aca="false">COUNTIF(Customers!$C:$C,$A9)</f>
        <v>1</v>
      </c>
      <c r="C9" s="13" t="n">
        <f aca="false">B9/$B$10</f>
        <v>0.125</v>
      </c>
      <c r="D9" s="12" t="n">
        <f aca="false">SUMIFS('Customer Analysis'!$E$5:$E$12,'Customer Analysis'!$C$5:$C$12,$A9)</f>
        <v>67000</v>
      </c>
      <c r="E9" s="13" t="n">
        <f aca="false">D9/$D$10</f>
        <v>0.0475177304964539</v>
      </c>
      <c r="F9" s="15" t="n">
        <f aca="false">SUMIFS('Customer Analysis'!$L$5:$L$12,'Customer Analysis'!$C$5:$C$12,$A9)</f>
        <v>0</v>
      </c>
      <c r="G9" s="13" t="n">
        <f aca="false">F9/$F$10</f>
        <v>0</v>
      </c>
      <c r="H9" s="16" t="n">
        <f aca="false">IF(D9=0,0,F9/D9)</f>
        <v>0</v>
      </c>
      <c r="I9" s="15" t="n">
        <f aca="false">SUMIFS('Customer Analysis'!$M$5:$M$12,'Customer Analysis'!$C$5:$C$12,$A9)</f>
        <v>0</v>
      </c>
    </row>
    <row r="10" customFormat="false" ht="15" hidden="false" customHeight="false" outlineLevel="0" collapsed="false">
      <c r="A10" s="18" t="s">
        <v>80</v>
      </c>
      <c r="B10" s="18" t="n">
        <f aca="false">SUM(B5:B9)</f>
        <v>8</v>
      </c>
      <c r="C10" s="20" t="n">
        <f aca="false">SUM(C5:C9)</f>
        <v>1</v>
      </c>
      <c r="D10" s="19" t="n">
        <f aca="false">SUM(D5:D9)</f>
        <v>1410000</v>
      </c>
      <c r="E10" s="20" t="n">
        <f aca="false">SUM(E5:E9)</f>
        <v>1</v>
      </c>
      <c r="F10" s="22" t="n">
        <f aca="false">SUM(F5:F9)</f>
        <v>6700000</v>
      </c>
      <c r="G10" s="20" t="n">
        <f aca="false">SUM(G5:G9)</f>
        <v>1</v>
      </c>
      <c r="H10" s="23" t="n">
        <f aca="false">IF(D10=0,0,F10/D10)</f>
        <v>4.75177304964539</v>
      </c>
      <c r="I10" s="22" t="n">
        <f aca="false">SUM(I5:I9)</f>
        <v>200000</v>
      </c>
    </row>
    <row r="12" customFormat="false" ht="15" hidden="false" customHeight="false" outlineLevel="0" collapsed="false">
      <c r="A12" s="24" t="s">
        <v>92</v>
      </c>
      <c r="F12" s="25" t="str">
        <f aca="false">IF(D10=SUM(Accounts!D:D),"OK","MISMATCH")</f>
        <v>OK</v>
      </c>
    </row>
    <row r="13" customFormat="false" ht="15" hidden="false" customHeight="false" outlineLevel="0" collapsed="false">
      <c r="A13" s="24" t="s">
        <v>93</v>
      </c>
      <c r="F13" s="25" t="str">
        <f aca="false">IF(F10=SUM(Loans!C:C),"OK","MISMATCH")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31.5" hidden="false" customHeight="true" outlineLevel="0" collapsed="false">
      <c r="A4" s="3" t="s">
        <v>96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</row>
    <row r="5" customFormat="false" ht="27.75" hidden="false" customHeight="true" outlineLevel="0" collapsed="false">
      <c r="A5" s="6" t="n">
        <v>1</v>
      </c>
      <c r="B5" s="6" t="s">
        <v>102</v>
      </c>
      <c r="C5" s="12" t="n">
        <f aca="false">INDEX(Accounts!$D:$D,MATCH(A5,Accounts!$A:$A,0))</f>
        <v>45000</v>
      </c>
      <c r="D5" s="14" t="n">
        <v>-10000</v>
      </c>
      <c r="E5" s="12" t="n">
        <f aca="false">C5+D5</f>
        <v>35000</v>
      </c>
      <c r="F5" s="11" t="s">
        <v>103</v>
      </c>
    </row>
    <row r="6" customFormat="false" ht="27.75" hidden="false" customHeight="true" outlineLevel="0" collapsed="false">
      <c r="A6" s="6" t="n">
        <v>2</v>
      </c>
      <c r="B6" s="6" t="s">
        <v>104</v>
      </c>
      <c r="C6" s="12" t="n">
        <f aca="false">INDEX(Accounts!$D:$D,MATCH(A6,Accounts!$A:$A,0))</f>
        <v>82000</v>
      </c>
      <c r="D6" s="14" t="n">
        <f aca="false">-D5</f>
        <v>10000</v>
      </c>
      <c r="E6" s="12" t="n">
        <f aca="false">C6+D6</f>
        <v>92000</v>
      </c>
      <c r="F6" s="11" t="s">
        <v>105</v>
      </c>
    </row>
    <row r="7" customFormat="false" ht="15" hidden="false" customHeight="false" outlineLevel="0" collapsed="false">
      <c r="A7" s="18" t="s">
        <v>80</v>
      </c>
      <c r="B7" s="18"/>
      <c r="C7" s="19" t="n">
        <f aca="false">SUM(C5:C6)</f>
        <v>127000</v>
      </c>
      <c r="D7" s="21" t="n">
        <f aca="false">SUM(D5:D6)</f>
        <v>0</v>
      </c>
      <c r="E7" s="19" t="n">
        <f aca="false">SUM(E5:E6)</f>
        <v>127000</v>
      </c>
      <c r="F7" s="26" t="str">
        <f aca="false">IF(C7=E7,"Money conserved: total unchanged","CHECK")</f>
        <v>Money conserved: total unchanged</v>
      </c>
    </row>
    <row r="10" customFormat="false" ht="31.5" hidden="false" customHeight="true" outlineLevel="0" collapsed="false">
      <c r="A10" s="3" t="s">
        <v>106</v>
      </c>
      <c r="B10" s="3" t="s">
        <v>107</v>
      </c>
      <c r="C10" s="3" t="s">
        <v>108</v>
      </c>
      <c r="D10" s="3" t="s">
        <v>109</v>
      </c>
    </row>
    <row r="11" customFormat="false" ht="43.5" hidden="false" customHeight="true" outlineLevel="0" collapsed="false">
      <c r="A11" s="11" t="s">
        <v>110</v>
      </c>
      <c r="B11" s="11" t="s">
        <v>111</v>
      </c>
      <c r="C11" s="11" t="s">
        <v>112</v>
      </c>
      <c r="D11" s="11" t="s">
        <v>113</v>
      </c>
    </row>
    <row r="12" customFormat="false" ht="43.5" hidden="false" customHeight="true" outlineLevel="0" collapsed="false">
      <c r="A12" s="11" t="s">
        <v>114</v>
      </c>
      <c r="B12" s="11" t="s">
        <v>115</v>
      </c>
      <c r="C12" s="11" t="s">
        <v>116</v>
      </c>
      <c r="D12" s="11" t="s">
        <v>117</v>
      </c>
    </row>
    <row r="13" customFormat="false" ht="43.5" hidden="false" customHeight="true" outlineLevel="0" collapsed="false">
      <c r="A13" s="11" t="s">
        <v>118</v>
      </c>
      <c r="B13" s="11" t="s">
        <v>119</v>
      </c>
      <c r="C13" s="11" t="s">
        <v>120</v>
      </c>
      <c r="D13" s="11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2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31.5" hidden="false" customHeight="true" outlineLevel="0" collapsed="false">
      <c r="A4" s="3" t="s">
        <v>124</v>
      </c>
      <c r="B4" s="3" t="s">
        <v>125</v>
      </c>
      <c r="C4" s="3" t="s">
        <v>126</v>
      </c>
      <c r="D4" s="3" t="s">
        <v>127</v>
      </c>
      <c r="E4" s="3" t="s">
        <v>72</v>
      </c>
    </row>
    <row r="5" customFormat="false" ht="15" hidden="false" customHeight="false" outlineLevel="0" collapsed="false">
      <c r="A5" s="6" t="n">
        <f aca="false">Accounts!A2</f>
        <v>1</v>
      </c>
      <c r="B5" s="12" t="n">
        <f aca="false">Accounts!D2</f>
        <v>45000</v>
      </c>
      <c r="C5" s="14" t="n">
        <f aca="false">SUMIFS(Transactions!$D:$D,Transactions!$B:$B,A5,Transactions!$C:$C,"DEPOSIT")-SUMIFS(Transactions!$D:$D,Transactions!$B:$B,A5,Transactions!$C:$C,"WITHDRAWAL")</f>
        <v>15000</v>
      </c>
      <c r="D5" s="14" t="n">
        <f aca="false">B5-C5</f>
        <v>30000</v>
      </c>
      <c r="E5" s="6" t="n">
        <f aca="false">COUNTIF(Transactions!$B:$B,A5)</f>
        <v>2</v>
      </c>
    </row>
    <row r="6" customFormat="false" ht="15" hidden="false" customHeight="false" outlineLevel="0" collapsed="false">
      <c r="A6" s="6" t="n">
        <f aca="false">Accounts!A3</f>
        <v>2</v>
      </c>
      <c r="B6" s="12" t="n">
        <f aca="false">Accounts!D3</f>
        <v>82000</v>
      </c>
      <c r="C6" s="14" t="n">
        <f aca="false">SUMIFS(Transactions!$D:$D,Transactions!$B:$B,A6,Transactions!$C:$C,"DEPOSIT")-SUMIFS(Transactions!$D:$D,Transactions!$B:$B,A6,Transactions!$C:$C,"WITHDRAWAL")</f>
        <v>23000</v>
      </c>
      <c r="D6" s="14" t="n">
        <f aca="false">B6-C6</f>
        <v>59000</v>
      </c>
      <c r="E6" s="6" t="n">
        <f aca="false">COUNTIF(Transactions!$B:$B,A6)</f>
        <v>2</v>
      </c>
    </row>
    <row r="7" customFormat="false" ht="15" hidden="false" customHeight="false" outlineLevel="0" collapsed="false">
      <c r="A7" s="6" t="n">
        <f aca="false">Accounts!A4</f>
        <v>3</v>
      </c>
      <c r="B7" s="12" t="n">
        <f aca="false">Accounts!D4</f>
        <v>15000</v>
      </c>
      <c r="C7" s="14" t="n">
        <f aca="false">SUMIFS(Transactions!$D:$D,Transactions!$B:$B,A7,Transactions!$C:$C,"DEPOSIT")-SUMIFS(Transactions!$D:$D,Transactions!$B:$B,A7,Transactions!$C:$C,"WITHDRAWAL")</f>
        <v>13000</v>
      </c>
      <c r="D7" s="14" t="n">
        <f aca="false">B7-C7</f>
        <v>2000</v>
      </c>
      <c r="E7" s="6" t="n">
        <f aca="false">COUNTIF(Transactions!$B:$B,A7)</f>
        <v>2</v>
      </c>
    </row>
    <row r="8" customFormat="false" ht="15" hidden="false" customHeight="false" outlineLevel="0" collapsed="false">
      <c r="A8" s="6" t="n">
        <f aca="false">Accounts!A5</f>
        <v>4</v>
      </c>
      <c r="B8" s="12" t="n">
        <f aca="false">Accounts!D5</f>
        <v>230000</v>
      </c>
      <c r="C8" s="14" t="n">
        <f aca="false">SUMIFS(Transactions!$D:$D,Transactions!$B:$B,A8,Transactions!$C:$C,"DEPOSIT")-SUMIFS(Transactions!$D:$D,Transactions!$B:$B,A8,Transactions!$C:$C,"WITHDRAWAL")</f>
        <v>40000</v>
      </c>
      <c r="D8" s="14" t="n">
        <f aca="false">B8-C8</f>
        <v>190000</v>
      </c>
      <c r="E8" s="6" t="n">
        <f aca="false">COUNTIF(Transactions!$B:$B,A8)</f>
        <v>2</v>
      </c>
    </row>
    <row r="9" customFormat="false" ht="15" hidden="false" customHeight="false" outlineLevel="0" collapsed="false">
      <c r="A9" s="6" t="n">
        <f aca="false">Accounts!A6</f>
        <v>5</v>
      </c>
      <c r="B9" s="12" t="n">
        <f aca="false">Accounts!D6</f>
        <v>540000</v>
      </c>
      <c r="C9" s="14" t="n">
        <f aca="false">SUMIFS(Transactions!$D:$D,Transactions!$B:$B,A9,Transactions!$C:$C,"DEPOSIT")-SUMIFS(Transactions!$D:$D,Transactions!$B:$B,A9,Transactions!$C:$C,"WITHDRAWAL")</f>
        <v>150000</v>
      </c>
      <c r="D9" s="14" t="n">
        <f aca="false">B9-C9</f>
        <v>390000</v>
      </c>
      <c r="E9" s="6" t="n">
        <f aca="false">COUNTIF(Transactions!$B:$B,A9)</f>
        <v>2</v>
      </c>
    </row>
    <row r="10" customFormat="false" ht="15" hidden="false" customHeight="false" outlineLevel="0" collapsed="false">
      <c r="A10" s="6" t="n">
        <f aca="false">Accounts!A7</f>
        <v>6</v>
      </c>
      <c r="B10" s="12" t="n">
        <f aca="false">Accounts!D7</f>
        <v>67000</v>
      </c>
      <c r="C10" s="14" t="n">
        <f aca="false">SUMIFS(Transactions!$D:$D,Transactions!$B:$B,A10,Transactions!$C:$C,"DEPOSIT")-SUMIFS(Transactions!$D:$D,Transactions!$B:$B,A10,Transactions!$C:$C,"WITHDRAWAL")</f>
        <v>40000</v>
      </c>
      <c r="D10" s="14" t="n">
        <f aca="false">B10-C10</f>
        <v>27000</v>
      </c>
      <c r="E10" s="6" t="n">
        <f aca="false">COUNTIF(Transactions!$B:$B,A10)</f>
        <v>1</v>
      </c>
    </row>
    <row r="11" customFormat="false" ht="15" hidden="false" customHeight="false" outlineLevel="0" collapsed="false">
      <c r="A11" s="6" t="n">
        <f aca="false">Accounts!A8</f>
        <v>7</v>
      </c>
      <c r="B11" s="12" t="n">
        <f aca="false">Accounts!D8</f>
        <v>125000</v>
      </c>
      <c r="C11" s="14" t="n">
        <f aca="false">SUMIFS(Transactions!$D:$D,Transactions!$B:$B,A11,Transactions!$C:$C,"DEPOSIT")-SUMIFS(Transactions!$D:$D,Transactions!$B:$B,A11,Transactions!$C:$C,"WITHDRAWAL")</f>
        <v>40000</v>
      </c>
      <c r="D11" s="14" t="n">
        <f aca="false">B11-C11</f>
        <v>85000</v>
      </c>
      <c r="E11" s="6" t="n">
        <f aca="false">COUNTIF(Transactions!$B:$B,A11)</f>
        <v>2</v>
      </c>
    </row>
    <row r="12" customFormat="false" ht="15" hidden="false" customHeight="false" outlineLevel="0" collapsed="false">
      <c r="A12" s="6" t="n">
        <f aca="false">Accounts!A9</f>
        <v>8</v>
      </c>
      <c r="B12" s="12" t="n">
        <f aca="false">Accounts!D9</f>
        <v>38000</v>
      </c>
      <c r="C12" s="14" t="n">
        <f aca="false">SUMIFS(Transactions!$D:$D,Transactions!$B:$B,A12,Transactions!$C:$C,"DEPOSIT")-SUMIFS(Transactions!$D:$D,Transactions!$B:$B,A12,Transactions!$C:$C,"WITHDRAWAL")</f>
        <v>0</v>
      </c>
      <c r="D12" s="14" t="n">
        <f aca="false">B12-C12</f>
        <v>38000</v>
      </c>
      <c r="E12" s="6" t="n">
        <f aca="false">COUNTIF(Transactions!$B:$B,A12)</f>
        <v>0</v>
      </c>
    </row>
    <row r="13" customFormat="false" ht="15" hidden="false" customHeight="false" outlineLevel="0" collapsed="false">
      <c r="A13" s="6" t="n">
        <f aca="false">Accounts!A10</f>
        <v>9</v>
      </c>
      <c r="B13" s="12" t="n">
        <f aca="false">Accounts!D10</f>
        <v>260000</v>
      </c>
      <c r="C13" s="14" t="n">
        <f aca="false">SUMIFS(Transactions!$D:$D,Transactions!$B:$B,A13,Transactions!$C:$C,"DEPOSIT")-SUMIFS(Transactions!$D:$D,Transactions!$B:$B,A13,Transactions!$C:$C,"WITHDRAWAL")</f>
        <v>12000</v>
      </c>
      <c r="D13" s="14" t="n">
        <f aca="false">B13-C13</f>
        <v>248000</v>
      </c>
      <c r="E13" s="6" t="n">
        <f aca="false">COUNTIF(Transactions!$B:$B,A13)</f>
        <v>1</v>
      </c>
    </row>
    <row r="14" customFormat="false" ht="15" hidden="false" customHeight="false" outlineLevel="0" collapsed="false">
      <c r="A14" s="6" t="n">
        <f aca="false">Accounts!A11</f>
        <v>10</v>
      </c>
      <c r="B14" s="12" t="n">
        <f aca="false">Accounts!D11</f>
        <v>8000</v>
      </c>
      <c r="C14" s="14" t="n">
        <f aca="false">SUMIFS(Transactions!$D:$D,Transactions!$B:$B,A14,Transactions!$C:$C,"DEPOSIT")-SUMIFS(Transactions!$D:$D,Transactions!$B:$B,A14,Transactions!$C:$C,"WITHDRAWAL")</f>
        <v>8000</v>
      </c>
      <c r="D14" s="14" t="n">
        <f aca="false">B14-C14</f>
        <v>0</v>
      </c>
      <c r="E14" s="6" t="n">
        <f aca="false">COUNTIF(Transactions!$B:$B,A14)</f>
        <v>1</v>
      </c>
    </row>
    <row r="15" customFormat="false" ht="15" hidden="false" customHeight="false" outlineLevel="0" collapsed="false">
      <c r="A15" s="18" t="s">
        <v>80</v>
      </c>
      <c r="B15" s="19" t="n">
        <f aca="false">SUM(B5:B14)</f>
        <v>1410000</v>
      </c>
      <c r="C15" s="21" t="n">
        <f aca="false">SUM(C5:C14)</f>
        <v>341000</v>
      </c>
      <c r="D15" s="21" t="n">
        <f aca="false">SUM(D5:D14)</f>
        <v>1069000</v>
      </c>
      <c r="E15" s="18" t="n">
        <f aca="false">SUM(E5:E14)</f>
        <v>15</v>
      </c>
    </row>
    <row r="17" customFormat="false" ht="15" hidden="false" customHeight="false" outlineLevel="0" collapsed="false">
      <c r="A17" s="25" t="s">
        <v>128</v>
      </c>
    </row>
    <row r="18" customFormat="false" ht="15" hidden="false" customHeight="false" outlineLevel="0" collapsed="false">
      <c r="A18" s="24" t="str">
        <f aca="false">"Accounts where transaction history does not explain the balance: "&amp;COUNTIF(D5:D14,"&lt;&gt;0")&amp;" of "&amp;COUNTA(A5:A14)&amp;". The schema has no opening-balance field, so balances cannot be rebuilt from the transactions table."</f>
        <v>Accounts where transaction history does not explain the balance: 9 of 10. The schema has no opening-balance field, so balances cannot be rebuilt from the transactions table.</v>
      </c>
    </row>
    <row r="20" customFormat="false" ht="31.5" hidden="false" customHeight="true" outlineLevel="0" collapsed="false">
      <c r="A20" s="3" t="s">
        <v>129</v>
      </c>
      <c r="B20" s="3" t="s">
        <v>130</v>
      </c>
      <c r="C20" s="3"/>
      <c r="D20" s="3"/>
      <c r="E20" s="3" t="s">
        <v>131</v>
      </c>
    </row>
    <row r="21" customFormat="false" ht="48" hidden="false" customHeight="true" outlineLevel="0" collapsed="false">
      <c r="A21" s="6" t="n">
        <v>1</v>
      </c>
      <c r="B21" s="11" t="s">
        <v>132</v>
      </c>
      <c r="C21" s="11"/>
      <c r="D21" s="11"/>
      <c r="E21" s="11" t="s">
        <v>133</v>
      </c>
    </row>
    <row r="22" customFormat="false" ht="48" hidden="false" customHeight="true" outlineLevel="0" collapsed="false">
      <c r="A22" s="6" t="n">
        <v>2</v>
      </c>
      <c r="B22" s="11" t="s">
        <v>134</v>
      </c>
      <c r="C22" s="11"/>
      <c r="D22" s="11"/>
      <c r="E22" s="11" t="s">
        <v>135</v>
      </c>
    </row>
    <row r="23" customFormat="false" ht="48" hidden="false" customHeight="true" outlineLevel="0" collapsed="false">
      <c r="A23" s="6" t="n">
        <v>3</v>
      </c>
      <c r="B23" s="11" t="s">
        <v>136</v>
      </c>
      <c r="C23" s="11"/>
      <c r="D23" s="11"/>
      <c r="E23" s="11" t="s">
        <v>137</v>
      </c>
    </row>
    <row r="24" customFormat="false" ht="48" hidden="false" customHeight="true" outlineLevel="0" collapsed="false">
      <c r="A24" s="6" t="n">
        <v>4</v>
      </c>
      <c r="B24" s="11" t="s">
        <v>138</v>
      </c>
      <c r="C24" s="11"/>
      <c r="D24" s="11"/>
      <c r="E24" s="11" t="s">
        <v>139</v>
      </c>
    </row>
    <row r="25" customFormat="false" ht="48" hidden="false" customHeight="true" outlineLevel="0" collapsed="false">
      <c r="A25" s="6" t="n">
        <v>5</v>
      </c>
      <c r="B25" s="11" t="s">
        <v>140</v>
      </c>
      <c r="C25" s="11"/>
      <c r="D25" s="11"/>
      <c r="E25" s="11" t="s">
        <v>141</v>
      </c>
    </row>
  </sheetData>
  <mergeCells count="6">
    <mergeCell ref="B20:D20"/>
    <mergeCell ref="B21:D21"/>
    <mergeCell ref="B22:D22"/>
    <mergeCell ref="B23:D2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3" customFormat="false" ht="31.5" hidden="false" customHeight="true" outlineLevel="0" collapsed="false">
      <c r="A3" s="3" t="s">
        <v>129</v>
      </c>
      <c r="B3" s="3" t="s">
        <v>144</v>
      </c>
      <c r="C3" s="3" t="s">
        <v>145</v>
      </c>
    </row>
    <row r="4" customFormat="false" ht="48" hidden="false" customHeight="true" outlineLevel="0" collapsed="false">
      <c r="A4" s="6" t="n">
        <v>1</v>
      </c>
      <c r="B4" s="10" t="s">
        <v>146</v>
      </c>
      <c r="C4" s="11" t="s">
        <v>147</v>
      </c>
    </row>
    <row r="5" customFormat="false" ht="48" hidden="false" customHeight="true" outlineLevel="0" collapsed="false">
      <c r="A5" s="6" t="n">
        <v>2</v>
      </c>
      <c r="B5" s="10" t="s">
        <v>148</v>
      </c>
      <c r="C5" s="11" t="s">
        <v>149</v>
      </c>
    </row>
    <row r="6" customFormat="false" ht="48" hidden="false" customHeight="true" outlineLevel="0" collapsed="false">
      <c r="A6" s="6" t="n">
        <v>3</v>
      </c>
      <c r="B6" s="10" t="s">
        <v>150</v>
      </c>
      <c r="C6" s="11" t="s">
        <v>151</v>
      </c>
    </row>
    <row r="7" customFormat="false" ht="48" hidden="false" customHeight="true" outlineLevel="0" collapsed="false">
      <c r="A7" s="6" t="n">
        <v>4</v>
      </c>
      <c r="B7" s="10" t="s">
        <v>152</v>
      </c>
      <c r="C7" s="11" t="s">
        <v>153</v>
      </c>
    </row>
    <row r="8" customFormat="false" ht="48" hidden="false" customHeight="true" outlineLevel="0" collapsed="false">
      <c r="A8" s="6" t="n">
        <v>5</v>
      </c>
      <c r="B8" s="10" t="s">
        <v>154</v>
      </c>
      <c r="C8" s="11" t="s">
        <v>155</v>
      </c>
    </row>
    <row r="9" customFormat="false" ht="48" hidden="false" customHeight="true" outlineLevel="0" collapsed="false">
      <c r="A9" s="6" t="n">
        <v>6</v>
      </c>
      <c r="B9" s="10" t="s">
        <v>156</v>
      </c>
      <c r="C9" s="11" t="s">
        <v>157</v>
      </c>
    </row>
    <row r="10" customFormat="false" ht="48" hidden="false" customHeight="true" outlineLevel="0" collapsed="false">
      <c r="A10" s="6" t="n">
        <v>7</v>
      </c>
      <c r="B10" s="10" t="s">
        <v>158</v>
      </c>
      <c r="C10" s="11" t="s">
        <v>159</v>
      </c>
    </row>
    <row r="11" customFormat="false" ht="48" hidden="false" customHeight="true" outlineLevel="0" collapsed="false">
      <c r="A11" s="6" t="n">
        <v>8</v>
      </c>
      <c r="B11" s="10" t="s">
        <v>160</v>
      </c>
      <c r="C11" s="11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3" customFormat="false" ht="31.5" hidden="false" customHeight="true" outlineLevel="0" collapsed="false">
      <c r="A3" s="3" t="s">
        <v>164</v>
      </c>
      <c r="B3" s="3" t="s">
        <v>165</v>
      </c>
      <c r="C3" s="3" t="s">
        <v>166</v>
      </c>
      <c r="D3" s="3" t="s">
        <v>167</v>
      </c>
    </row>
    <row r="4" customFormat="false" ht="30" hidden="false" customHeight="true" outlineLevel="0" collapsed="false">
      <c r="A4" s="11" t="s">
        <v>168</v>
      </c>
      <c r="B4" s="11" t="s">
        <v>169</v>
      </c>
      <c r="C4" s="11" t="s">
        <v>170</v>
      </c>
      <c r="D4" s="11" t="s">
        <v>171</v>
      </c>
    </row>
    <row r="5" customFormat="false" ht="30" hidden="false" customHeight="true" outlineLevel="0" collapsed="false">
      <c r="A5" s="11" t="s">
        <v>172</v>
      </c>
      <c r="B5" s="11" t="s">
        <v>173</v>
      </c>
      <c r="C5" s="11" t="s">
        <v>174</v>
      </c>
      <c r="D5" s="11" t="s">
        <v>175</v>
      </c>
    </row>
    <row r="6" customFormat="false" ht="30" hidden="false" customHeight="true" outlineLevel="0" collapsed="false">
      <c r="A6" s="11" t="s">
        <v>176</v>
      </c>
      <c r="B6" s="11" t="s">
        <v>177</v>
      </c>
      <c r="C6" s="11" t="s">
        <v>178</v>
      </c>
      <c r="D6" s="11" t="s">
        <v>179</v>
      </c>
    </row>
    <row r="7" customFormat="false" ht="30" hidden="false" customHeight="true" outlineLevel="0" collapsed="false">
      <c r="A7" s="11" t="s">
        <v>10</v>
      </c>
      <c r="B7" s="11" t="s">
        <v>180</v>
      </c>
      <c r="C7" s="11" t="s">
        <v>181</v>
      </c>
      <c r="D7" s="11" t="s">
        <v>182</v>
      </c>
    </row>
    <row r="8" customFormat="false" ht="30" hidden="false" customHeight="true" outlineLevel="0" collapsed="false">
      <c r="A8" s="11" t="s">
        <v>13</v>
      </c>
      <c r="B8" s="11" t="s">
        <v>183</v>
      </c>
      <c r="C8" s="11" t="s">
        <v>184</v>
      </c>
      <c r="D8" s="11" t="s">
        <v>185</v>
      </c>
    </row>
    <row r="9" customFormat="false" ht="30" hidden="false" customHeight="true" outlineLevel="0" collapsed="false">
      <c r="A9" s="11" t="s">
        <v>186</v>
      </c>
      <c r="B9" s="11" t="s">
        <v>187</v>
      </c>
      <c r="C9" s="11" t="s">
        <v>188</v>
      </c>
      <c r="D9" s="11" t="s">
        <v>189</v>
      </c>
    </row>
    <row r="10" customFormat="false" ht="30" hidden="false" customHeight="true" outlineLevel="0" collapsed="false">
      <c r="A10" s="11" t="s">
        <v>190</v>
      </c>
      <c r="B10" s="11" t="s">
        <v>191</v>
      </c>
      <c r="C10" s="11" t="s">
        <v>192</v>
      </c>
      <c r="D10" s="11" t="s">
        <v>193</v>
      </c>
    </row>
    <row r="11" customFormat="false" ht="30" hidden="false" customHeight="true" outlineLevel="0" collapsed="false">
      <c r="A11" s="11" t="s">
        <v>194</v>
      </c>
      <c r="B11" s="11" t="s">
        <v>195</v>
      </c>
      <c r="C11" s="11" t="s">
        <v>196</v>
      </c>
      <c r="D11" s="11" t="s">
        <v>197</v>
      </c>
    </row>
    <row r="12" customFormat="false" ht="30" hidden="false" customHeight="true" outlineLevel="0" collapsed="false">
      <c r="A12" s="11" t="s">
        <v>26</v>
      </c>
      <c r="B12" s="11" t="s">
        <v>198</v>
      </c>
      <c r="C12" s="11" t="s">
        <v>199</v>
      </c>
      <c r="D12" s="11" t="s">
        <v>200</v>
      </c>
    </row>
    <row r="13" customFormat="false" ht="30" hidden="false" customHeight="true" outlineLevel="0" collapsed="false">
      <c r="A13" s="11" t="s">
        <v>24</v>
      </c>
      <c r="B13" s="11" t="s">
        <v>201</v>
      </c>
      <c r="C13" s="11" t="s">
        <v>202</v>
      </c>
      <c r="D13" s="11" t="s">
        <v>203</v>
      </c>
    </row>
    <row r="14" customFormat="false" ht="30" hidden="false" customHeight="true" outlineLevel="0" collapsed="false">
      <c r="A14" s="11" t="s">
        <v>204</v>
      </c>
      <c r="B14" s="11" t="s">
        <v>205</v>
      </c>
      <c r="C14" s="11" t="s">
        <v>206</v>
      </c>
      <c r="D14" s="11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4"/>
  </cols>
  <sheetData>
    <row r="1" customFormat="false" ht="31.5" hidden="false" customHeight="true" outlineLevel="0" collapsed="false">
      <c r="A1" s="3" t="s">
        <v>65</v>
      </c>
      <c r="B1" s="3" t="s">
        <v>208</v>
      </c>
      <c r="C1" s="3" t="s">
        <v>209</v>
      </c>
      <c r="D1" s="3" t="s">
        <v>210</v>
      </c>
    </row>
    <row r="2" customFormat="false" ht="15" hidden="false" customHeight="false" outlineLevel="0" collapsed="false">
      <c r="A2" s="6" t="n">
        <v>1</v>
      </c>
      <c r="B2" s="6" t="s">
        <v>102</v>
      </c>
      <c r="C2" s="6" t="s">
        <v>87</v>
      </c>
      <c r="D2" s="6" t="s">
        <v>211</v>
      </c>
    </row>
    <row r="3" customFormat="false" ht="15" hidden="false" customHeight="false" outlineLevel="0" collapsed="false">
      <c r="A3" s="6" t="n">
        <v>2</v>
      </c>
      <c r="B3" s="6" t="s">
        <v>104</v>
      </c>
      <c r="C3" s="6" t="s">
        <v>90</v>
      </c>
      <c r="D3" s="6" t="s">
        <v>212</v>
      </c>
    </row>
    <row r="4" customFormat="false" ht="15" hidden="false" customHeight="false" outlineLevel="0" collapsed="false">
      <c r="A4" s="6" t="n">
        <v>3</v>
      </c>
      <c r="B4" s="6" t="s">
        <v>213</v>
      </c>
      <c r="C4" s="6" t="s">
        <v>88</v>
      </c>
      <c r="D4" s="6" t="s">
        <v>214</v>
      </c>
    </row>
    <row r="5" customFormat="false" ht="15" hidden="false" customHeight="false" outlineLevel="0" collapsed="false">
      <c r="A5" s="6" t="n">
        <v>4</v>
      </c>
      <c r="B5" s="6" t="s">
        <v>215</v>
      </c>
      <c r="C5" s="6" t="s">
        <v>89</v>
      </c>
      <c r="D5" s="6" t="s">
        <v>216</v>
      </c>
    </row>
    <row r="6" customFormat="false" ht="15" hidden="false" customHeight="false" outlineLevel="0" collapsed="false">
      <c r="A6" s="6" t="n">
        <v>5</v>
      </c>
      <c r="B6" s="6" t="s">
        <v>217</v>
      </c>
      <c r="C6" s="6" t="s">
        <v>88</v>
      </c>
      <c r="D6" s="6" t="s">
        <v>218</v>
      </c>
    </row>
    <row r="7" customFormat="false" ht="15" hidden="false" customHeight="false" outlineLevel="0" collapsed="false">
      <c r="A7" s="6" t="n">
        <v>6</v>
      </c>
      <c r="B7" s="6" t="s">
        <v>219</v>
      </c>
      <c r="C7" s="6" t="s">
        <v>91</v>
      </c>
      <c r="D7" s="6" t="s">
        <v>220</v>
      </c>
    </row>
    <row r="8" customFormat="false" ht="15" hidden="false" customHeight="false" outlineLevel="0" collapsed="false">
      <c r="A8" s="6" t="n">
        <v>7</v>
      </c>
      <c r="B8" s="6" t="s">
        <v>221</v>
      </c>
      <c r="C8" s="6" t="s">
        <v>89</v>
      </c>
      <c r="D8" s="6" t="s">
        <v>222</v>
      </c>
    </row>
    <row r="9" customFormat="false" ht="15" hidden="false" customHeight="false" outlineLevel="0" collapsed="false">
      <c r="A9" s="6" t="n">
        <v>8</v>
      </c>
      <c r="B9" s="6" t="s">
        <v>200</v>
      </c>
      <c r="C9" s="6" t="s">
        <v>87</v>
      </c>
      <c r="D9" s="6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3" t="s">
        <v>124</v>
      </c>
      <c r="B1" s="3" t="s">
        <v>65</v>
      </c>
      <c r="C1" s="3" t="s">
        <v>224</v>
      </c>
      <c r="D1" s="3" t="s">
        <v>225</v>
      </c>
    </row>
    <row r="2" customFormat="false" ht="15" hidden="false" customHeight="false" outlineLevel="0" collapsed="false">
      <c r="A2" s="6" t="n">
        <v>1</v>
      </c>
      <c r="B2" s="6" t="n">
        <v>1</v>
      </c>
      <c r="C2" s="6" t="s">
        <v>226</v>
      </c>
      <c r="D2" s="12" t="n">
        <v>45000</v>
      </c>
    </row>
    <row r="3" customFormat="false" ht="15" hidden="false" customHeight="false" outlineLevel="0" collapsed="false">
      <c r="A3" s="6" t="n">
        <v>2</v>
      </c>
      <c r="B3" s="6" t="n">
        <v>2</v>
      </c>
      <c r="C3" s="6" t="s">
        <v>226</v>
      </c>
      <c r="D3" s="12" t="n">
        <v>82000</v>
      </c>
    </row>
    <row r="4" customFormat="false" ht="15" hidden="false" customHeight="false" outlineLevel="0" collapsed="false">
      <c r="A4" s="6" t="n">
        <v>3</v>
      </c>
      <c r="B4" s="6" t="n">
        <v>3</v>
      </c>
      <c r="C4" s="6" t="s">
        <v>226</v>
      </c>
      <c r="D4" s="12" t="n">
        <v>15000</v>
      </c>
    </row>
    <row r="5" customFormat="false" ht="15" hidden="false" customHeight="false" outlineLevel="0" collapsed="false">
      <c r="A5" s="6" t="n">
        <v>4</v>
      </c>
      <c r="B5" s="6" t="n">
        <v>4</v>
      </c>
      <c r="C5" s="6" t="s">
        <v>226</v>
      </c>
      <c r="D5" s="12" t="n">
        <v>230000</v>
      </c>
    </row>
    <row r="6" customFormat="false" ht="15" hidden="false" customHeight="false" outlineLevel="0" collapsed="false">
      <c r="A6" s="6" t="n">
        <v>5</v>
      </c>
      <c r="B6" s="6" t="n">
        <v>5</v>
      </c>
      <c r="C6" s="6" t="s">
        <v>227</v>
      </c>
      <c r="D6" s="12" t="n">
        <v>540000</v>
      </c>
    </row>
    <row r="7" customFormat="false" ht="15" hidden="false" customHeight="false" outlineLevel="0" collapsed="false">
      <c r="A7" s="6" t="n">
        <v>6</v>
      </c>
      <c r="B7" s="6" t="n">
        <v>6</v>
      </c>
      <c r="C7" s="6" t="s">
        <v>226</v>
      </c>
      <c r="D7" s="12" t="n">
        <v>67000</v>
      </c>
    </row>
    <row r="8" customFormat="false" ht="15" hidden="false" customHeight="false" outlineLevel="0" collapsed="false">
      <c r="A8" s="6" t="n">
        <v>7</v>
      </c>
      <c r="B8" s="6" t="n">
        <v>7</v>
      </c>
      <c r="C8" s="6" t="s">
        <v>226</v>
      </c>
      <c r="D8" s="12" t="n">
        <v>125000</v>
      </c>
    </row>
    <row r="9" customFormat="false" ht="15" hidden="false" customHeight="false" outlineLevel="0" collapsed="false">
      <c r="A9" s="6" t="n">
        <v>8</v>
      </c>
      <c r="B9" s="6" t="n">
        <v>8</v>
      </c>
      <c r="C9" s="6" t="s">
        <v>226</v>
      </c>
      <c r="D9" s="12" t="n">
        <v>38000</v>
      </c>
    </row>
    <row r="10" customFormat="false" ht="15" hidden="false" customHeight="false" outlineLevel="0" collapsed="false">
      <c r="A10" s="6" t="n">
        <v>9</v>
      </c>
      <c r="B10" s="6" t="n">
        <v>1</v>
      </c>
      <c r="C10" s="6" t="s">
        <v>227</v>
      </c>
      <c r="D10" s="12" t="n">
        <v>260000</v>
      </c>
    </row>
    <row r="11" customFormat="false" ht="15" hidden="false" customHeight="false" outlineLevel="0" collapsed="false">
      <c r="A11" s="6" t="n">
        <v>10</v>
      </c>
      <c r="B11" s="6" t="n">
        <v>3</v>
      </c>
      <c r="C11" s="6" t="s">
        <v>226</v>
      </c>
      <c r="D11" s="12" t="n">
        <v>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3" t="s">
        <v>228</v>
      </c>
      <c r="B1" s="3" t="s">
        <v>124</v>
      </c>
      <c r="C1" s="3" t="s">
        <v>229</v>
      </c>
      <c r="D1" s="3" t="s">
        <v>230</v>
      </c>
      <c r="E1" s="3" t="s">
        <v>231</v>
      </c>
      <c r="F1" s="27" t="s">
        <v>232</v>
      </c>
    </row>
    <row r="2" customFormat="false" ht="15" hidden="false" customHeight="false" outlineLevel="0" collapsed="false">
      <c r="A2" s="6" t="n">
        <v>1</v>
      </c>
      <c r="B2" s="6" t="n">
        <v>1</v>
      </c>
      <c r="C2" s="6" t="s">
        <v>233</v>
      </c>
      <c r="D2" s="12" t="n">
        <v>20000</v>
      </c>
      <c r="E2" s="28" t="n">
        <v>46205</v>
      </c>
      <c r="F2" s="6" t="n">
        <f aca="false">INDEX(Accounts!$B:$B,MATCH(B2,Accounts!$A:$A,0))</f>
        <v>1</v>
      </c>
    </row>
    <row r="3" customFormat="false" ht="15" hidden="false" customHeight="false" outlineLevel="0" collapsed="false">
      <c r="A3" s="6" t="n">
        <v>2</v>
      </c>
      <c r="B3" s="6" t="n">
        <v>1</v>
      </c>
      <c r="C3" s="6" t="s">
        <v>234</v>
      </c>
      <c r="D3" s="12" t="n">
        <v>5000</v>
      </c>
      <c r="E3" s="28" t="n">
        <v>46213</v>
      </c>
      <c r="F3" s="6" t="n">
        <f aca="false">INDEX(Accounts!$B:$B,MATCH(B3,Accounts!$A:$A,0))</f>
        <v>1</v>
      </c>
    </row>
    <row r="4" customFormat="false" ht="15" hidden="false" customHeight="false" outlineLevel="0" collapsed="false">
      <c r="A4" s="6" t="n">
        <v>3</v>
      </c>
      <c r="B4" s="6" t="n">
        <v>2</v>
      </c>
      <c r="C4" s="6" t="s">
        <v>233</v>
      </c>
      <c r="D4" s="12" t="n">
        <v>30000</v>
      </c>
      <c r="E4" s="28" t="n">
        <v>46208</v>
      </c>
      <c r="F4" s="6" t="n">
        <f aca="false">INDEX(Accounts!$B:$B,MATCH(B4,Accounts!$A:$A,0))</f>
        <v>2</v>
      </c>
    </row>
    <row r="5" customFormat="false" ht="15" hidden="false" customHeight="false" outlineLevel="0" collapsed="false">
      <c r="A5" s="6" t="n">
        <v>4</v>
      </c>
      <c r="B5" s="6" t="n">
        <v>2</v>
      </c>
      <c r="C5" s="6" t="s">
        <v>234</v>
      </c>
      <c r="D5" s="12" t="n">
        <v>7000</v>
      </c>
      <c r="E5" s="28" t="n">
        <v>46235</v>
      </c>
      <c r="F5" s="6" t="n">
        <f aca="false">INDEX(Accounts!$B:$B,MATCH(B5,Accounts!$A:$A,0))</f>
        <v>2</v>
      </c>
    </row>
    <row r="6" customFormat="false" ht="15" hidden="false" customHeight="false" outlineLevel="0" collapsed="false">
      <c r="A6" s="6" t="n">
        <v>5</v>
      </c>
      <c r="B6" s="6" t="n">
        <v>3</v>
      </c>
      <c r="C6" s="6" t="s">
        <v>233</v>
      </c>
      <c r="D6" s="12" t="n">
        <v>15000</v>
      </c>
      <c r="E6" s="28" t="n">
        <v>46211</v>
      </c>
      <c r="F6" s="6" t="n">
        <f aca="false">INDEX(Accounts!$B:$B,MATCH(B6,Accounts!$A:$A,0))</f>
        <v>3</v>
      </c>
    </row>
    <row r="7" customFormat="false" ht="15" hidden="false" customHeight="false" outlineLevel="0" collapsed="false">
      <c r="A7" s="6" t="n">
        <v>6</v>
      </c>
      <c r="B7" s="6" t="n">
        <v>3</v>
      </c>
      <c r="C7" s="6" t="s">
        <v>234</v>
      </c>
      <c r="D7" s="12" t="n">
        <v>2000</v>
      </c>
      <c r="E7" s="28" t="n">
        <v>46237</v>
      </c>
      <c r="F7" s="6" t="n">
        <f aca="false">INDEX(Accounts!$B:$B,MATCH(B7,Accounts!$A:$A,0))</f>
        <v>3</v>
      </c>
    </row>
    <row r="8" customFormat="false" ht="15" hidden="false" customHeight="false" outlineLevel="0" collapsed="false">
      <c r="A8" s="6" t="n">
        <v>7</v>
      </c>
      <c r="B8" s="6" t="n">
        <v>4</v>
      </c>
      <c r="C8" s="6" t="s">
        <v>233</v>
      </c>
      <c r="D8" s="12" t="n">
        <v>50000</v>
      </c>
      <c r="E8" s="28" t="n">
        <v>46239</v>
      </c>
      <c r="F8" s="6" t="n">
        <f aca="false">INDEX(Accounts!$B:$B,MATCH(B8,Accounts!$A:$A,0))</f>
        <v>4</v>
      </c>
    </row>
    <row r="9" customFormat="false" ht="15" hidden="false" customHeight="false" outlineLevel="0" collapsed="false">
      <c r="A9" s="6" t="n">
        <v>8</v>
      </c>
      <c r="B9" s="6" t="n">
        <v>4</v>
      </c>
      <c r="C9" s="6" t="s">
        <v>234</v>
      </c>
      <c r="D9" s="12" t="n">
        <v>10000</v>
      </c>
      <c r="E9" s="28" t="n">
        <v>46254</v>
      </c>
      <c r="F9" s="6" t="n">
        <f aca="false">INDEX(Accounts!$B:$B,MATCH(B9,Accounts!$A:$A,0))</f>
        <v>4</v>
      </c>
    </row>
    <row r="10" customFormat="false" ht="15" hidden="false" customHeight="false" outlineLevel="0" collapsed="false">
      <c r="A10" s="6" t="n">
        <v>9</v>
      </c>
      <c r="B10" s="6" t="n">
        <v>5</v>
      </c>
      <c r="C10" s="6" t="s">
        <v>233</v>
      </c>
      <c r="D10" s="12" t="n">
        <v>250000</v>
      </c>
      <c r="E10" s="28" t="n">
        <v>46243</v>
      </c>
      <c r="F10" s="6" t="n">
        <f aca="false">INDEX(Accounts!$B:$B,MATCH(B10,Accounts!$A:$A,0))</f>
        <v>5</v>
      </c>
    </row>
    <row r="11" customFormat="false" ht="15" hidden="false" customHeight="false" outlineLevel="0" collapsed="false">
      <c r="A11" s="6" t="n">
        <v>10</v>
      </c>
      <c r="B11" s="6" t="n">
        <v>5</v>
      </c>
      <c r="C11" s="6" t="s">
        <v>234</v>
      </c>
      <c r="D11" s="12" t="n">
        <v>100000</v>
      </c>
      <c r="E11" s="28" t="n">
        <v>46266</v>
      </c>
      <c r="F11" s="6" t="n">
        <f aca="false">INDEX(Accounts!$B:$B,MATCH(B11,Accounts!$A:$A,0))</f>
        <v>5</v>
      </c>
    </row>
    <row r="12" customFormat="false" ht="15" hidden="false" customHeight="false" outlineLevel="0" collapsed="false">
      <c r="A12" s="6" t="n">
        <v>11</v>
      </c>
      <c r="B12" s="6" t="n">
        <v>6</v>
      </c>
      <c r="C12" s="6" t="s">
        <v>233</v>
      </c>
      <c r="D12" s="12" t="n">
        <v>40000</v>
      </c>
      <c r="E12" s="28" t="n">
        <v>46267</v>
      </c>
      <c r="F12" s="6" t="n">
        <f aca="false">INDEX(Accounts!$B:$B,MATCH(B12,Accounts!$A:$A,0))</f>
        <v>6</v>
      </c>
    </row>
    <row r="13" customFormat="false" ht="15" hidden="false" customHeight="false" outlineLevel="0" collapsed="false">
      <c r="A13" s="6" t="n">
        <v>12</v>
      </c>
      <c r="B13" s="6" t="n">
        <v>7</v>
      </c>
      <c r="C13" s="6" t="s">
        <v>233</v>
      </c>
      <c r="D13" s="12" t="n">
        <v>60000</v>
      </c>
      <c r="E13" s="28" t="n">
        <v>46268</v>
      </c>
      <c r="F13" s="6" t="n">
        <f aca="false">INDEX(Accounts!$B:$B,MATCH(B13,Accounts!$A:$A,0))</f>
        <v>7</v>
      </c>
    </row>
    <row r="14" customFormat="false" ht="15" hidden="false" customHeight="false" outlineLevel="0" collapsed="false">
      <c r="A14" s="6" t="n">
        <v>13</v>
      </c>
      <c r="B14" s="6" t="n">
        <v>7</v>
      </c>
      <c r="C14" s="6" t="s">
        <v>234</v>
      </c>
      <c r="D14" s="12" t="n">
        <v>20000</v>
      </c>
      <c r="E14" s="28" t="n">
        <v>46277</v>
      </c>
      <c r="F14" s="6" t="n">
        <f aca="false">INDEX(Accounts!$B:$B,MATCH(B14,Accounts!$A:$A,0))</f>
        <v>7</v>
      </c>
    </row>
    <row r="15" customFormat="false" ht="15" hidden="false" customHeight="false" outlineLevel="0" collapsed="false">
      <c r="A15" s="6" t="n">
        <v>14</v>
      </c>
      <c r="B15" s="6" t="n">
        <v>9</v>
      </c>
      <c r="C15" s="6" t="s">
        <v>233</v>
      </c>
      <c r="D15" s="12" t="n">
        <v>12000</v>
      </c>
      <c r="E15" s="28" t="n">
        <v>46270</v>
      </c>
      <c r="F15" s="6" t="n">
        <f aca="false">INDEX(Accounts!$B:$B,MATCH(B15,Accounts!$A:$A,0))</f>
        <v>1</v>
      </c>
    </row>
    <row r="16" customFormat="false" ht="15" hidden="false" customHeight="false" outlineLevel="0" collapsed="false">
      <c r="A16" s="6" t="n">
        <v>15</v>
      </c>
      <c r="B16" s="6" t="n">
        <v>10</v>
      </c>
      <c r="C16" s="6" t="s">
        <v>233</v>
      </c>
      <c r="D16" s="12" t="n">
        <v>8000</v>
      </c>
      <c r="E16" s="28" t="n">
        <v>46271</v>
      </c>
      <c r="F16" s="6" t="n">
        <f aca="false">INDEX(Accounts!$B:$B,MATCH(B16,Accounts!$A:$A,0))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31.5" hidden="false" customHeight="true" outlineLevel="0" collapsed="false">
      <c r="A1" s="3" t="s">
        <v>235</v>
      </c>
      <c r="B1" s="3" t="s">
        <v>65</v>
      </c>
      <c r="C1" s="3" t="s">
        <v>230</v>
      </c>
      <c r="D1" s="3" t="s">
        <v>236</v>
      </c>
    </row>
    <row r="2" customFormat="false" ht="15" hidden="false" customHeight="false" outlineLevel="0" collapsed="false">
      <c r="A2" s="6" t="n">
        <v>1</v>
      </c>
      <c r="B2" s="6" t="n">
        <v>1</v>
      </c>
      <c r="C2" s="12" t="n">
        <v>4000000</v>
      </c>
      <c r="D2" s="6" t="s">
        <v>237</v>
      </c>
    </row>
    <row r="3" customFormat="false" ht="15" hidden="false" customHeight="false" outlineLevel="0" collapsed="false">
      <c r="A3" s="6" t="n">
        <v>2</v>
      </c>
      <c r="B3" s="6" t="n">
        <v>4</v>
      </c>
      <c r="C3" s="12" t="n">
        <v>500000</v>
      </c>
      <c r="D3" s="6" t="s">
        <v>237</v>
      </c>
    </row>
    <row r="4" customFormat="false" ht="15" hidden="false" customHeight="false" outlineLevel="0" collapsed="false">
      <c r="A4" s="6" t="n">
        <v>3</v>
      </c>
      <c r="B4" s="6" t="n">
        <v>5</v>
      </c>
      <c r="C4" s="12" t="n">
        <v>2000000</v>
      </c>
      <c r="D4" s="6" t="s">
        <v>237</v>
      </c>
    </row>
    <row r="5" customFormat="false" ht="15" hidden="false" customHeight="false" outlineLevel="0" collapsed="false">
      <c r="A5" s="6" t="n">
        <v>4</v>
      </c>
      <c r="B5" s="6" t="n">
        <v>3</v>
      </c>
      <c r="C5" s="12" t="n">
        <v>200000</v>
      </c>
      <c r="D5" s="6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239</v>
      </c>
    </row>
    <row r="3" customFormat="false" ht="31.5" hidden="false" customHeight="true" outlineLevel="0" collapsed="false">
      <c r="A3" s="3" t="s">
        <v>240</v>
      </c>
      <c r="B3" s="3" t="s">
        <v>241</v>
      </c>
    </row>
    <row r="4" customFormat="false" ht="23.85" hidden="false" customHeight="false" outlineLevel="0" collapsed="false">
      <c r="A4" s="10" t="s">
        <v>242</v>
      </c>
      <c r="B4" s="11" t="s">
        <v>243</v>
      </c>
    </row>
    <row r="5" customFormat="false" ht="23.85" hidden="false" customHeight="false" outlineLevel="0" collapsed="false">
      <c r="A5" s="10" t="s">
        <v>244</v>
      </c>
      <c r="B5" s="11" t="s">
        <v>245</v>
      </c>
    </row>
    <row r="6" customFormat="false" ht="15" hidden="false" customHeight="false" outlineLevel="0" collapsed="false">
      <c r="A6" s="10" t="s">
        <v>246</v>
      </c>
      <c r="B6" s="29" t="n">
        <v>5</v>
      </c>
    </row>
    <row r="7" customFormat="false" ht="23.85" hidden="false" customHeight="false" outlineLevel="0" collapsed="false">
      <c r="A7" s="10" t="s">
        <v>247</v>
      </c>
      <c r="B7" s="11" t="s">
        <v>248</v>
      </c>
    </row>
    <row r="8" customFormat="false" ht="15" hidden="false" customHeight="false" outlineLevel="0" collapsed="false">
      <c r="A8" s="10" t="s">
        <v>249</v>
      </c>
      <c r="B8" s="11" t="s">
        <v>250</v>
      </c>
    </row>
    <row r="9" customFormat="false" ht="15" hidden="false" customHeight="false" outlineLevel="0" collapsed="false">
      <c r="A9" s="10" t="s">
        <v>251</v>
      </c>
      <c r="B9" s="11" t="s">
        <v>252</v>
      </c>
    </row>
    <row r="10" customFormat="false" ht="23.85" hidden="false" customHeight="false" outlineLevel="0" collapsed="false">
      <c r="A10" s="10" t="s">
        <v>253</v>
      </c>
      <c r="B10" s="11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2026-10-04T16:53:10Z</dcterms:created>
  <dc:creator>openpyxl</dc:creator>
  <dc:description/>
  <dc:language>en-US</dc:language>
  <cp:lastModifiedBy/>
  <dcterms:modified xsi:type="dcterms:W3CDTF">2026-10-04T16:53:12Z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